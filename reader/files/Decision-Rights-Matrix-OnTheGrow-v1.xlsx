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Summary" sheetId="3" state="visible" r:id="rId3"/>
  </sheets>
  <definedNames>
    <definedName name="_xlnm.Print_Titles" localSheetId="1">'Register'!$4:$4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4">
    <font>
      <name val="Calibri"/>
      <family val="2"/>
      <color theme="1"/>
      <sz val="11"/>
      <scheme val="minor"/>
    </font>
    <font>
      <name val="Arial"/>
      <b val="1"/>
      <color rgb="FF36294F"/>
      <sz val="20"/>
    </font>
    <font>
      <name val="Arial"/>
      <i val="1"/>
      <color rgb="FF39989E"/>
      <sz val="11"/>
    </font>
    <font>
      <name val="Arial"/>
      <color rgb="FF55505F"/>
      <sz val="8"/>
    </font>
    <font>
      <name val="Arial"/>
      <color rgb="FF26222E"/>
      <sz val="10"/>
    </font>
    <font>
      <name val="Arial"/>
      <b val="1"/>
      <color rgb="FFFFFFFF"/>
      <sz val="12"/>
    </font>
    <font>
      <name val="Arial"/>
      <b val="1"/>
      <color rgb="FF36294F"/>
      <sz val="10"/>
    </font>
    <font>
      <name val="Arial"/>
      <b val="1"/>
      <color rgb="FF36294F"/>
      <sz val="16"/>
    </font>
    <font>
      <name val="Arial"/>
      <i val="1"/>
      <color rgb="FF55505F"/>
      <sz val="9"/>
    </font>
    <font>
      <name val="Arial"/>
      <b val="1"/>
      <color rgb="FFFFFFFF"/>
      <sz val="9"/>
    </font>
    <font>
      <name val="Arial"/>
      <color rgb="FF26222E"/>
      <sz val="9"/>
    </font>
    <font>
      <name val="Arial"/>
      <b val="1"/>
      <color rgb="FF26222E"/>
      <sz val="9"/>
    </font>
    <font>
      <name val="Arial"/>
      <b val="1"/>
      <color rgb="FF26222E"/>
      <sz val="10"/>
    </font>
    <font>
      <name val="Arial"/>
      <i val="1"/>
      <color rgb="FF36294F"/>
      <sz val="9"/>
    </font>
  </fonts>
  <fills count="5">
    <fill>
      <patternFill/>
    </fill>
    <fill>
      <patternFill patternType="gray125"/>
    </fill>
    <fill>
      <patternFill patternType="solid">
        <fgColor rgb="FF36294F"/>
      </patternFill>
    </fill>
    <fill>
      <patternFill patternType="solid">
        <fgColor rgb="FF39989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5E2"/>
      </left>
      <right style="thin">
        <color rgb="FFD9D5E2"/>
      </right>
      <top style="thin">
        <color rgb="FFD9D5E2"/>
      </top>
      <bottom style="thin">
        <color rgb="FFD9D5E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top" wrapText="1"/>
    </xf>
    <xf numFmtId="164" fontId="10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1" fontId="12" fillId="0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FFB42318"/>
      </font>
      <fill>
        <patternFill patternType="solid">
          <bgColor rgb="FFFDE8E8"/>
        </patternFill>
      </fill>
    </dxf>
    <dxf>
      <font>
        <b val="1"/>
        <color rgb="FF2B7A7F"/>
      </font>
      <fill>
        <patternFill patternType="solid">
          <bgColor rgb="FFEAF5F5"/>
        </patternFill>
      </fill>
    </dxf>
    <dxf>
      <font>
        <b val="1"/>
        <color rgb="FF9A5B00"/>
      </font>
      <fill>
        <patternFill patternType="solid">
          <bgColor rgb="FFFFF4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 ht="30" customHeight="1">
      <c r="B1" s="1" t="inlineStr">
        <is>
          <t>The Decision Rights Matrix</t>
        </is>
      </c>
      <c r="C1" s="2" t="n"/>
    </row>
    <row r="2" ht="30" customHeight="1">
      <c r="B2" s="3" t="inlineStr">
        <is>
          <t>From AI Will Scale Good Leadership and Bad Leadership: The CHRO’s Method for Redesigning Work Before AI Scales What’s Broken, by Liz Corey  |  Toolbox No. 7  |  OnTheGrow Leadership</t>
        </is>
      </c>
      <c r="C2" s="2" t="n"/>
    </row>
    <row r="3">
      <c r="B3" s="4" t="inlineStr">
        <is>
          <t>© 2026 Elizabeth A. Corey. All rights reserved. GROWTH Execution Model™. onthegrow.ai</t>
        </is>
      </c>
      <c r="C3" s="2" t="n"/>
    </row>
    <row r="5" ht="30" customHeight="1">
      <c r="B5" s="5" t="inlineStr">
        <is>
          <t>Ownership is singular. When two people own a rule, nobody owns it. This register puts five names on every rule that moves money or touches people, so the next quiet failure gets caught by a calendar instead of a discovery.</t>
        </is>
      </c>
      <c r="C5" s="2" t="n"/>
    </row>
    <row r="7">
      <c r="B7" s="6" t="inlineStr">
        <is>
          <t>HOW THIS WORKBOOK IS SET UP</t>
        </is>
      </c>
      <c r="C7" s="2" t="n"/>
    </row>
    <row r="8">
      <c r="B8" s="7" t="inlineStr">
        <is>
          <t>Register</t>
        </is>
      </c>
      <c r="C8" s="5" t="inlineStr">
        <is>
          <t>One row per consequential rule. Five names, a validation date, and the exception count. The workbook flags blanks, overdue validations, and rising exceptions, and ranks what to fix first.</t>
        </is>
      </c>
    </row>
    <row r="9">
      <c r="B9" s="7" t="inlineStr">
        <is>
          <t>Summary</t>
        </is>
      </c>
      <c r="C9" s="5" t="inlineStr">
        <is>
          <t>The one page for your CFO: which rules are governed, which ownership question fails most, and the top five to fix.</t>
        </is>
      </c>
    </row>
    <row r="10">
      <c r="B10" s="7" t="inlineStr">
        <is>
          <t>Example rows</t>
        </is>
      </c>
      <c r="C10" s="5" t="inlineStr">
        <is>
          <t>Ten payroll rules are filled in so you can see a finished register, blanks included. Replace them with your own.</t>
        </is>
      </c>
    </row>
    <row r="11">
      <c r="B11" s="7" t="inlineStr">
        <is>
          <t>Yellow cells</t>
        </is>
      </c>
      <c r="C11" s="5" t="inlineStr">
        <is>
          <t>Type in the yellow cells only. Every other cell is a formula.</t>
        </is>
      </c>
    </row>
    <row r="13">
      <c r="B13" s="6" t="inlineStr">
        <is>
          <t>THE FIVE OWNERSHIP QUESTIONS</t>
        </is>
      </c>
      <c r="C13" s="2" t="n"/>
    </row>
    <row r="14">
      <c r="B14" s="7" t="inlineStr">
        <is>
          <t>1. Defined</t>
        </is>
      </c>
      <c r="C14" s="5" t="inlineStr">
        <is>
          <t>Who defined this rule, and could their successor find out why it says what it says?</t>
        </is>
      </c>
    </row>
    <row r="15">
      <c r="B15" s="7" t="inlineStr">
        <is>
          <t>2. Applied</t>
        </is>
      </c>
      <c r="C15" s="5" t="inlineStr">
        <is>
          <t>Who decides where it applies: which divisions, sites, employee groups, and exceptions?</t>
        </is>
      </c>
    </row>
    <row r="16">
      <c r="B16" s="7" t="inlineStr">
        <is>
          <t>3. Validated</t>
        </is>
      </c>
      <c r="C16" s="5" t="inlineStr">
        <is>
          <t>Who confirms, on a schedule, that the rule still matches the policy and the law? Every division gets a named validator with standing to challenge central configuration.</t>
        </is>
      </c>
    </row>
    <row r="17">
      <c r="B17" s="7" t="inlineStr">
        <is>
          <t>4. Watched</t>
        </is>
      </c>
      <c r="C17" s="5" t="inlineStr">
        <is>
          <t>What changes would make this rule wrong (a new law, a new shift, an acquisition), and who is watching for them?</t>
        </is>
      </c>
    </row>
    <row r="18">
      <c r="B18" s="7" t="inlineStr">
        <is>
          <t>5. Answered</t>
        </is>
      </c>
      <c r="C18" s="5" t="inlineStr">
        <is>
          <t>Who owns the consequences when the rule is wrong? One name.</t>
        </is>
      </c>
    </row>
    <row r="20">
      <c r="B20" s="6" t="inlineStr">
        <is>
          <t>STEP BY STEP</t>
        </is>
      </c>
      <c r="C20" s="2" t="n"/>
    </row>
    <row r="21">
      <c r="B21" s="7" t="inlineStr">
        <is>
          <t>1. Start where money touches people</t>
        </is>
      </c>
      <c r="C21" s="5" t="inlineStr">
        <is>
          <t>Pay codes, overtime rules, accrual logic, deduction rules, eligibility thresholds. These are the rules whose quiet failures hurt the most and surface the slowest.</t>
        </is>
      </c>
    </row>
    <row r="22">
      <c r="B22" s="7" t="inlineStr">
        <is>
          <t>2. Put five names in five columns</t>
        </is>
      </c>
      <c r="C22" s="5" t="inlineStr">
        <is>
          <t>A blank cell is a finding, not a formatting problem. Expect blanks. That is the point.</t>
        </is>
      </c>
    </row>
    <row r="23">
      <c r="B23" s="7" t="inlineStr">
        <is>
          <t>3. Give every rule a validation date</t>
        </is>
      </c>
      <c r="C23" s="5" t="inlineStr">
        <is>
          <t>And give every division a named validator. Overdue dates show in red.</t>
        </is>
      </c>
    </row>
    <row r="24">
      <c r="B24" s="7" t="inlineStr">
        <is>
          <t>4. Add the exception count each quarter</t>
        </is>
      </c>
      <c r="C24" s="5" t="inlineStr">
        <is>
          <t>Enter last quarter and this quarter. Rising exceptions move the rule to the front of the validation queue.</t>
        </is>
      </c>
    </row>
    <row r="26">
      <c r="B26" s="6" t="inlineStr">
        <is>
          <t>THE CHRO’S MOVE</t>
        </is>
      </c>
      <c r="C26" s="2" t="n"/>
    </row>
    <row r="27">
      <c r="B27" s="7" t="inlineStr">
        <is>
          <t>One afternoon</t>
        </is>
      </c>
      <c r="C27" s="5" t="inlineStr">
        <is>
          <t>Pull the ten rules in your systems that most directly touch employees’ money. Answer the five questions in writing for each. Assign a validator and a date to every blank before you finish. Then take the Summary page to your CFO.</t>
        </is>
      </c>
    </row>
    <row r="29">
      <c r="B29" s="6" t="inlineStr">
        <is>
          <t>WANT IT DONE FASTER?</t>
        </is>
      </c>
      <c r="C29" s="2" t="n"/>
    </row>
    <row r="30">
      <c r="B30" s="7" t="inlineStr">
        <is>
          <t>Decision Rights Scan</t>
        </is>
      </c>
      <c r="C30" s="5" t="inlineStr">
        <is>
          <t>The AI-powered version reads your payroll and HRIS configuration, lists the rules running in them, and drafts the register for your team to complete. Early access. Call for pricing. Book a conversation at onthegrow.ai</t>
        </is>
      </c>
    </row>
    <row r="32">
      <c r="B32" s="4" t="inlineStr">
        <is>
          <t>© 2026 Elizabeth A. Corey. All rights reserved. GROWTH Execution Model™. onthegrow.ai</t>
        </is>
      </c>
      <c r="C32" s="2" t="n"/>
    </row>
  </sheetData>
  <mergeCells count="10">
    <mergeCell ref="B13:C13"/>
    <mergeCell ref="B2:C2"/>
    <mergeCell ref="B29:C29"/>
    <mergeCell ref="B7:C7"/>
    <mergeCell ref="B3:C3"/>
    <mergeCell ref="B5:C5"/>
    <mergeCell ref="B20:C20"/>
    <mergeCell ref="B32:C32"/>
    <mergeCell ref="B26:C26"/>
    <mergeCell ref="B1:C1"/>
  </mergeCells>
  <pageMargins left="0.75" right="0.75" top="1" bottom="1" header="0.5" footer="0.5"/>
  <pageSetup orientation="landscape" fitToHeight="0" fitToWidth="1"/>
  <headerFooter>
    <oddHeader/>
    <oddFooter>&amp;LOnTheGrow Leadership | Decision Rights Matrix&amp;RPage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0" customWidth="1" min="4" max="4"/>
    <col width="16" customWidth="1" min="5" max="5"/>
    <col width="16" customWidth="1" min="6" max="6"/>
    <col width="16" customWidth="1" min="7" max="7"/>
    <col width="12" customWidth="1" min="8" max="8"/>
    <col width="26" customWidth="1" min="9" max="9"/>
    <col width="16" customWidth="1" min="10" max="10"/>
    <col width="16" customWidth="1" min="11" max="11"/>
    <col width="10" customWidth="1" min="12" max="12"/>
    <col width="10" customWidth="1" min="13" max="13"/>
    <col width="9" customWidth="1" min="14" max="14"/>
    <col width="17" customWidth="1" min="15" max="15"/>
    <col width="8" customWidth="1" min="16" max="16"/>
    <col width="36" customWidth="1" min="17" max="17"/>
    <col width="34" customWidth="1" min="18" max="18"/>
    <col hidden="1" width="6" customWidth="1" min="19" max="19"/>
  </cols>
  <sheetData>
    <row r="1">
      <c r="A1" s="8" t="inlineStr">
        <is>
          <t>Decision Rights Register</t>
        </is>
      </c>
    </row>
    <row r="2" ht="28" customHeight="1">
      <c r="A2" s="9" t="inlineStr">
        <is>
          <t>HOW TO USE THIS TAB: One row per rule. Type in the yellow cells. Put a name in each of the five ownership columns; a blank turns red and is a finding. Teal columns calculate. The payroll rows are an example; replace them.</t>
        </is>
      </c>
    </row>
    <row r="3">
      <c r="A3" s="10" t="inlineStr">
        <is>
          <t>© 2026 Elizabeth A. Corey. All rights reserved. GROWTH Execution Model™. onthegrow.ai</t>
        </is>
      </c>
    </row>
    <row r="4" ht="40" customHeight="1">
      <c r="A4" s="11" t="inlineStr">
        <is>
          <t>ID</t>
        </is>
      </c>
      <c r="B4" s="11" t="inlineStr">
        <is>
          <t>Rule or decision</t>
        </is>
      </c>
      <c r="C4" s="11" t="inlineStr">
        <is>
          <t>Where it runs</t>
        </is>
      </c>
      <c r="D4" s="11" t="inlineStr">
        <is>
          <t>Employees affected</t>
        </is>
      </c>
      <c r="E4" s="11" t="inlineStr">
        <is>
          <t>1. Defined by</t>
        </is>
      </c>
      <c r="F4" s="11" t="inlineStr">
        <is>
          <t>2. Applicability decided by</t>
        </is>
      </c>
      <c r="G4" s="11" t="inlineStr">
        <is>
          <t>3. Validated by</t>
        </is>
      </c>
      <c r="H4" s="11" t="inlineStr">
        <is>
          <t>Next validation date</t>
        </is>
      </c>
      <c r="I4" s="11" t="inlineStr">
        <is>
          <t>Change triggers watched</t>
        </is>
      </c>
      <c r="J4" s="11" t="inlineStr">
        <is>
          <t>4. Watched by</t>
        </is>
      </c>
      <c r="K4" s="11" t="inlineStr">
        <is>
          <t>5. Owner of consequences</t>
        </is>
      </c>
      <c r="L4" s="11" t="inlineStr">
        <is>
          <t>Exceptions last quarter</t>
        </is>
      </c>
      <c r="M4" s="11" t="inlineStr">
        <is>
          <t>Exceptions this quarter</t>
        </is>
      </c>
      <c r="N4" s="12" t="inlineStr">
        <is>
          <t>Names filled (of 5)</t>
        </is>
      </c>
      <c r="O4" s="12" t="inlineStr">
        <is>
          <t>Status</t>
        </is>
      </c>
      <c r="P4" s="12" t="inlineStr">
        <is>
          <t>Fix-first rank</t>
        </is>
      </c>
      <c r="Q4" s="12" t="inlineStr">
        <is>
          <t>Next action</t>
        </is>
      </c>
      <c r="R4" s="11" t="inlineStr">
        <is>
          <t>Notes</t>
        </is>
      </c>
      <c r="S4" s="12" t="inlineStr">
        <is>
          <t>key</t>
        </is>
      </c>
    </row>
    <row r="5">
      <c r="A5" s="13" t="inlineStr">
        <is>
          <t>R01</t>
        </is>
      </c>
      <c r="B5" s="13" t="inlineStr">
        <is>
          <t>Overtime: hours over 40 in a workweek paid at 1.5 times the regular rate</t>
        </is>
      </c>
      <c r="C5" s="13" t="inlineStr">
        <is>
          <t>Payroll system</t>
        </is>
      </c>
      <c r="D5" s="13" t="n">
        <v>420</v>
      </c>
      <c r="E5" s="13" t="inlineStr">
        <is>
          <t>Payroll manager</t>
        </is>
      </c>
      <c r="F5" s="13" t="inlineStr">
        <is>
          <t>Compensation manager</t>
        </is>
      </c>
      <c r="G5" s="13" t="inlineStr">
        <is>
          <t>Payroll manager</t>
        </is>
      </c>
      <c r="H5" s="14" t="n">
        <v>46402</v>
      </c>
      <c r="I5" s="13" t="inlineStr">
        <is>
          <t>State wage law changes; workweek definition</t>
        </is>
      </c>
      <c r="J5" s="13" t="inlineStr">
        <is>
          <t>Employment counsel</t>
        </is>
      </c>
      <c r="K5" s="13" t="inlineStr">
        <is>
          <t>VP People</t>
        </is>
      </c>
      <c r="L5" s="13" t="n">
        <v>2</v>
      </c>
      <c r="M5" s="13" t="n">
        <v>2</v>
      </c>
      <c r="N5" s="15">
        <f>IF(B5="","",5-COUNTBLANK(E5:G5)-COUNTBLANK(J5:K5))</f>
        <v/>
      </c>
      <c r="O5" s="15">
        <f>IF(B5="","",IF(N5&lt;5,"Blank found",IF(AND(ISNUMBER(M5),ISNUMBER(L5),M5&gt;L5),"Exceptions rising",IF(OR(H5="",AND(ISNUMBER(H5),H5&lt;TODAY())),"Validation overdue","Governed"))))</f>
        <v/>
      </c>
      <c r="P5" s="15">
        <f>IF(S5="","",RANK(S5,$S$5:$S$54,0))</f>
        <v/>
      </c>
      <c r="Q5" s="16">
        <f>IF(B5="","",IF(E5="","Name who defined this rule.",IF(F5="","Name who decides where it applies.",IF(G5="","Name a validator and a validation date.",IF(J5="","Name who watches for changes.",IF(K5="","Name the owner of consequences.",IF(AND(ISNUMBER(M5),ISNUMBER(L5),M5&gt;L5),"Move it to the front of the validation queue.",IF(OR(H5="",AND(ISNUMBER(H5),H5&lt;TODAY())),"Validate it now and set the next date.","Governed. Validate on the next date.")))))))</f>
        <v/>
      </c>
      <c r="R5" s="13" t="n"/>
      <c r="S5" s="16">
        <f>IF(OR(B5="",O5="Governed"),"",(5-N5)*1000+IF(AND(ISNUMBER(M5),ISNUMBER(L5),M5&gt;L5),1500,0)+IF(OR(H5="",AND(ISNUMBER(H5),H5&lt;TODAY())),500,0)+IF(ISNUMBER(D5),MIN(D5,9999)/10000,0)-ROW()/1000000)</f>
        <v/>
      </c>
    </row>
    <row r="6">
      <c r="A6" s="13" t="inlineStr">
        <is>
          <t>R02</t>
        </is>
      </c>
      <c r="B6" s="13" t="inlineStr">
        <is>
          <t>Sunday premium pay</t>
        </is>
      </c>
      <c r="C6" s="13" t="inlineStr">
        <is>
          <t>Timekeeping system</t>
        </is>
      </c>
      <c r="D6" s="13" t="n">
        <v>180</v>
      </c>
      <c r="E6" s="13" t="n"/>
      <c r="F6" s="13" t="inlineStr">
        <is>
          <t>Division operations manager</t>
        </is>
      </c>
      <c r="G6" s="13" t="n"/>
      <c r="H6" s="14" t="n"/>
      <c r="I6" s="13" t="n"/>
      <c r="J6" s="13" t="n"/>
      <c r="K6" s="13" t="n"/>
      <c r="L6" s="13" t="n">
        <v>4</v>
      </c>
      <c r="M6" s="13" t="n">
        <v>11</v>
      </c>
      <c r="N6" s="15">
        <f>IF(B6="","",5-COUNTBLANK(E6:G6)-COUNTBLANK(J6:K6))</f>
        <v/>
      </c>
      <c r="O6" s="15">
        <f>IF(B6="","",IF(N6&lt;5,"Blank found",IF(AND(ISNUMBER(M6),ISNUMBER(L6),M6&gt;L6),"Exceptions rising",IF(OR(H6="",AND(ISNUMBER(H6),H6&lt;TODAY())),"Validation overdue","Governed"))))</f>
        <v/>
      </c>
      <c r="P6" s="15">
        <f>IF(S6="","",RANK(S6,$S$5:$S$54,0))</f>
        <v/>
      </c>
      <c r="Q6" s="16">
        <f>IF(B6="","",IF(E6="","Name who defined this rule.",IF(F6="","Name who decides where it applies.",IF(G6="","Name a validator and a validation date.",IF(J6="","Name who watches for changes.",IF(K6="","Name the owner of consequences.",IF(AND(ISNUMBER(M6),ISNUMBER(L6),M6&gt;L6),"Move it to the front of the validation queue.",IF(OR(H6="",AND(ISNUMBER(H6),H6&lt;TODAY())),"Validate it now and set the next date.","Governed. Validate on the next date.")))))))</f>
        <v/>
      </c>
      <c r="R6" s="13" t="inlineStr">
        <is>
          <t>Configured years ago. Nobody can say who wrote it, or why it applies where it does.</t>
        </is>
      </c>
      <c r="S6" s="16">
        <f>IF(OR(B6="",O6="Governed"),"",(5-N6)*1000+IF(AND(ISNUMBER(M6),ISNUMBER(L6),M6&gt;L6),1500,0)+IF(OR(H6="",AND(ISNUMBER(H6),H6&lt;TODAY())),500,0)+IF(ISNUMBER(D6),MIN(D6,9999)/10000,0)-ROW()/1000000)</f>
        <v/>
      </c>
    </row>
    <row r="7">
      <c r="A7" s="13" t="inlineStr">
        <is>
          <t>R03</t>
        </is>
      </c>
      <c r="B7" s="13" t="inlineStr">
        <is>
          <t>Holiday pay eligibility</t>
        </is>
      </c>
      <c r="C7" s="13" t="inlineStr">
        <is>
          <t>Payroll system</t>
        </is>
      </c>
      <c r="D7" s="13" t="n">
        <v>800</v>
      </c>
      <c r="E7" s="13" t="inlineStr">
        <is>
          <t>Payroll manager</t>
        </is>
      </c>
      <c r="F7" s="13" t="inlineStr">
        <is>
          <t>HR operations manager</t>
        </is>
      </c>
      <c r="G7" s="13" t="inlineStr">
        <is>
          <t>Payroll manager</t>
        </is>
      </c>
      <c r="H7" s="14" t="n">
        <v>46203</v>
      </c>
      <c r="I7" s="13" t="inlineStr">
        <is>
          <t>Holiday calendar each year</t>
        </is>
      </c>
      <c r="J7" s="13" t="inlineStr">
        <is>
          <t>HR operations manager</t>
        </is>
      </c>
      <c r="K7" s="13" t="inlineStr">
        <is>
          <t>VP People</t>
        </is>
      </c>
      <c r="L7" s="13" t="n">
        <v>3</v>
      </c>
      <c r="M7" s="13" t="n">
        <v>3</v>
      </c>
      <c r="N7" s="15">
        <f>IF(B7="","",5-COUNTBLANK(E7:G7)-COUNTBLANK(J7:K7))</f>
        <v/>
      </c>
      <c r="O7" s="15">
        <f>IF(B7="","",IF(N7&lt;5,"Blank found",IF(AND(ISNUMBER(M7),ISNUMBER(L7),M7&gt;L7),"Exceptions rising",IF(OR(H7="",AND(ISNUMBER(H7),H7&lt;TODAY())),"Validation overdue","Governed"))))</f>
        <v/>
      </c>
      <c r="P7" s="15">
        <f>IF(S7="","",RANK(S7,$S$5:$S$54,0))</f>
        <v/>
      </c>
      <c r="Q7" s="16">
        <f>IF(B7="","",IF(E7="","Name who defined this rule.",IF(F7="","Name who decides where it applies.",IF(G7="","Name a validator and a validation date.",IF(J7="","Name who watches for changes.",IF(K7="","Name the owner of consequences.",IF(AND(ISNUMBER(M7),ISNUMBER(L7),M7&gt;L7),"Move it to the front of the validation queue.",IF(OR(H7="",AND(ISNUMBER(H7),H7&lt;TODAY())),"Validate it now and set the next date.","Governed. Validate on the next date.")))))))</f>
        <v/>
      </c>
      <c r="R7" s="13" t="inlineStr">
        <is>
          <t>Validation date passed.</t>
        </is>
      </c>
      <c r="S7" s="16">
        <f>IF(OR(B7="",O7="Governed"),"",(5-N7)*1000+IF(AND(ISNUMBER(M7),ISNUMBER(L7),M7&gt;L7),1500,0)+IF(OR(H7="",AND(ISNUMBER(H7),H7&lt;TODAY())),500,0)+IF(ISNUMBER(D7),MIN(D7,9999)/10000,0)-ROW()/1000000)</f>
        <v/>
      </c>
    </row>
    <row r="8">
      <c r="A8" s="13" t="inlineStr">
        <is>
          <t>R04</t>
        </is>
      </c>
      <c r="B8" s="13" t="inlineStr">
        <is>
          <t>Shift differential for evening and night shifts</t>
        </is>
      </c>
      <c r="C8" s="13" t="inlineStr">
        <is>
          <t>Timekeeping system</t>
        </is>
      </c>
      <c r="D8" s="13" t="n">
        <v>240</v>
      </c>
      <c r="E8" s="13" t="inlineStr">
        <is>
          <t>Compensation manager</t>
        </is>
      </c>
      <c r="F8" s="13" t="inlineStr">
        <is>
          <t>Division operations manager</t>
        </is>
      </c>
      <c r="G8" s="13" t="inlineStr">
        <is>
          <t>Division payroll validator</t>
        </is>
      </c>
      <c r="H8" s="14" t="n">
        <v>46477</v>
      </c>
      <c r="I8" s="13" t="inlineStr">
        <is>
          <t>New shifts added</t>
        </is>
      </c>
      <c r="J8" s="13" t="inlineStr">
        <is>
          <t>Division operations manager</t>
        </is>
      </c>
      <c r="K8" s="13" t="inlineStr">
        <is>
          <t>VP Operations</t>
        </is>
      </c>
      <c r="L8" s="13" t="n">
        <v>1</v>
      </c>
      <c r="M8" s="13" t="n">
        <v>6</v>
      </c>
      <c r="N8" s="15">
        <f>IF(B8="","",5-COUNTBLANK(E8:G8)-COUNTBLANK(J8:K8))</f>
        <v/>
      </c>
      <c r="O8" s="15">
        <f>IF(B8="","",IF(N8&lt;5,"Blank found",IF(AND(ISNUMBER(M8),ISNUMBER(L8),M8&gt;L8),"Exceptions rising",IF(OR(H8="",AND(ISNUMBER(H8),H8&lt;TODAY())),"Validation overdue","Governed"))))</f>
        <v/>
      </c>
      <c r="P8" s="15">
        <f>IF(S8="","",RANK(S8,$S$5:$S$54,0))</f>
        <v/>
      </c>
      <c r="Q8" s="16">
        <f>IF(B8="","",IF(E8="","Name who defined this rule.",IF(F8="","Name who decides where it applies.",IF(G8="","Name a validator and a validation date.",IF(J8="","Name who watches for changes.",IF(K8="","Name the owner of consequences.",IF(AND(ISNUMBER(M8),ISNUMBER(L8),M8&gt;L8),"Move it to the front of the validation queue.",IF(OR(H8="",AND(ISNUMBER(H8),H8&lt;TODAY())),"Validate it now and set the next date.","Governed. Validate on the next date.")))))))</f>
        <v/>
      </c>
      <c r="R8" s="13" t="inlineStr">
        <is>
          <t>Exceptions jumped after two new shifts launched.</t>
        </is>
      </c>
      <c r="S8" s="16">
        <f>IF(OR(B8="",O8="Governed"),"",(5-N8)*1000+IF(AND(ISNUMBER(M8),ISNUMBER(L8),M8&gt;L8),1500,0)+IF(OR(H8="",AND(ISNUMBER(H8),H8&lt;TODAY())),500,0)+IF(ISNUMBER(D8),MIN(D8,9999)/10000,0)-ROW()/1000000)</f>
        <v/>
      </c>
    </row>
    <row r="9">
      <c r="A9" s="13" t="inlineStr">
        <is>
          <t>R05</t>
        </is>
      </c>
      <c r="B9" s="13" t="inlineStr">
        <is>
          <t>PTO accrual rate by tenure</t>
        </is>
      </c>
      <c r="C9" s="13" t="inlineStr">
        <is>
          <t>HRIS</t>
        </is>
      </c>
      <c r="D9" s="13" t="n">
        <v>800</v>
      </c>
      <c r="E9" s="13" t="inlineStr">
        <is>
          <t>HR operations manager</t>
        </is>
      </c>
      <c r="F9" s="13" t="inlineStr">
        <is>
          <t>HR operations manager</t>
        </is>
      </c>
      <c r="G9" s="13" t="n"/>
      <c r="H9" s="14" t="n"/>
      <c r="I9" s="13" t="inlineStr">
        <is>
          <t>Policy changes; acquisitions</t>
        </is>
      </c>
      <c r="J9" s="13" t="inlineStr">
        <is>
          <t>HR operations manager</t>
        </is>
      </c>
      <c r="K9" s="13" t="inlineStr">
        <is>
          <t>VP People</t>
        </is>
      </c>
      <c r="L9" s="13" t="n">
        <v>5</v>
      </c>
      <c r="M9" s="13" t="n">
        <v>5</v>
      </c>
      <c r="N9" s="15">
        <f>IF(B9="","",5-COUNTBLANK(E9:G9)-COUNTBLANK(J9:K9))</f>
        <v/>
      </c>
      <c r="O9" s="15">
        <f>IF(B9="","",IF(N9&lt;5,"Blank found",IF(AND(ISNUMBER(M9),ISNUMBER(L9),M9&gt;L9),"Exceptions rising",IF(OR(H9="",AND(ISNUMBER(H9),H9&lt;TODAY())),"Validation overdue","Governed"))))</f>
        <v/>
      </c>
      <c r="P9" s="15">
        <f>IF(S9="","",RANK(S9,$S$5:$S$54,0))</f>
        <v/>
      </c>
      <c r="Q9" s="16">
        <f>IF(B9="","",IF(E9="","Name who defined this rule.",IF(F9="","Name who decides where it applies.",IF(G9="","Name a validator and a validation date.",IF(J9="","Name who watches for changes.",IF(K9="","Name the owner of consequences.",IF(AND(ISNUMBER(M9),ISNUMBER(L9),M9&gt;L9),"Move it to the front of the validation queue.",IF(OR(H9="",AND(ISNUMBER(H9),H9&lt;TODAY())),"Validate it now and set the next date.","Governed. Validate on the next date.")))))))</f>
        <v/>
      </c>
      <c r="R9" s="13" t="n"/>
      <c r="S9" s="16">
        <f>IF(OR(B9="",O9="Governed"),"",(5-N9)*1000+IF(AND(ISNUMBER(M9),ISNUMBER(L9),M9&gt;L9),1500,0)+IF(OR(H9="",AND(ISNUMBER(H9),H9&lt;TODAY())),500,0)+IF(ISNUMBER(D9),MIN(D9,9999)/10000,0)-ROW()/1000000)</f>
        <v/>
      </c>
    </row>
    <row r="10">
      <c r="A10" s="13" t="inlineStr">
        <is>
          <t>R06</t>
        </is>
      </c>
      <c r="B10" s="13" t="inlineStr">
        <is>
          <t>401(k) deduction and company match</t>
        </is>
      </c>
      <c r="C10" s="13" t="inlineStr">
        <is>
          <t>Payroll system; plan provider</t>
        </is>
      </c>
      <c r="D10" s="13" t="n">
        <v>650</v>
      </c>
      <c r="E10" s="13" t="inlineStr">
        <is>
          <t>Benefits manager</t>
        </is>
      </c>
      <c r="F10" s="13" t="inlineStr">
        <is>
          <t>Benefits manager</t>
        </is>
      </c>
      <c r="G10" s="13" t="inlineStr">
        <is>
          <t>Benefits manager</t>
        </is>
      </c>
      <c r="H10" s="14" t="n">
        <v>46418</v>
      </c>
      <c r="I10" s="13" t="inlineStr">
        <is>
          <t>Plan amendments; IRS limits each year</t>
        </is>
      </c>
      <c r="J10" s="13" t="inlineStr">
        <is>
          <t>Benefits manager</t>
        </is>
      </c>
      <c r="K10" s="13" t="inlineStr">
        <is>
          <t>CFO</t>
        </is>
      </c>
      <c r="L10" s="13" t="n">
        <v>0</v>
      </c>
      <c r="M10" s="13" t="n">
        <v>0</v>
      </c>
      <c r="N10" s="15">
        <f>IF(B10="","",5-COUNTBLANK(E10:G10)-COUNTBLANK(J10:K10))</f>
        <v/>
      </c>
      <c r="O10" s="15">
        <f>IF(B10="","",IF(N10&lt;5,"Blank found",IF(AND(ISNUMBER(M10),ISNUMBER(L10),M10&gt;L10),"Exceptions rising",IF(OR(H10="",AND(ISNUMBER(H10),H10&lt;TODAY())),"Validation overdue","Governed"))))</f>
        <v/>
      </c>
      <c r="P10" s="15">
        <f>IF(S10="","",RANK(S10,$S$5:$S$54,0))</f>
        <v/>
      </c>
      <c r="Q10" s="16">
        <f>IF(B10="","",IF(E10="","Name who defined this rule.",IF(F10="","Name who decides where it applies.",IF(G10="","Name a validator and a validation date.",IF(J10="","Name who watches for changes.",IF(K10="","Name the owner of consequences.",IF(AND(ISNUMBER(M10),ISNUMBER(L10),M10&gt;L10),"Move it to the front of the validation queue.",IF(OR(H10="",AND(ISNUMBER(H10),H10&lt;TODAY())),"Validate it now and set the next date.","Governed. Validate on the next date.")))))))</f>
        <v/>
      </c>
      <c r="R10" s="13" t="n"/>
      <c r="S10" s="16">
        <f>IF(OR(B10="",O10="Governed"),"",(5-N10)*1000+IF(AND(ISNUMBER(M10),ISNUMBER(L10),M10&gt;L10),1500,0)+IF(OR(H10="",AND(ISNUMBER(H10),H10&lt;TODAY())),500,0)+IF(ISNUMBER(D10),MIN(D10,9999)/10000,0)-ROW()/1000000)</f>
        <v/>
      </c>
    </row>
    <row r="11">
      <c r="A11" s="13" t="inlineStr">
        <is>
          <t>R07</t>
        </is>
      </c>
      <c r="B11" s="13" t="inlineStr">
        <is>
          <t>Benefits eligibility at 30 hours a week</t>
        </is>
      </c>
      <c r="C11" s="13" t="inlineStr">
        <is>
          <t>HRIS; benefits platform</t>
        </is>
      </c>
      <c r="D11" s="13" t="n">
        <v>300</v>
      </c>
      <c r="E11" s="13" t="inlineStr">
        <is>
          <t>Benefits manager</t>
        </is>
      </c>
      <c r="F11" s="13" t="n"/>
      <c r="G11" s="13" t="inlineStr">
        <is>
          <t>Benefits manager</t>
        </is>
      </c>
      <c r="H11" s="14" t="n">
        <v>46295</v>
      </c>
      <c r="I11" s="13" t="inlineStr">
        <is>
          <t>Scheduled hours changes; ACA rules</t>
        </is>
      </c>
      <c r="J11" s="13" t="n"/>
      <c r="K11" s="13" t="inlineStr">
        <is>
          <t>VP People</t>
        </is>
      </c>
      <c r="L11" s="13" t="n">
        <v>2</v>
      </c>
      <c r="M11" s="13" t="n">
        <v>4</v>
      </c>
      <c r="N11" s="15">
        <f>IF(B11="","",5-COUNTBLANK(E11:G11)-COUNTBLANK(J11:K11))</f>
        <v/>
      </c>
      <c r="O11" s="15">
        <f>IF(B11="","",IF(N11&lt;5,"Blank found",IF(AND(ISNUMBER(M11),ISNUMBER(L11),M11&gt;L11),"Exceptions rising",IF(OR(H11="",AND(ISNUMBER(H11),H11&lt;TODAY())),"Validation overdue","Governed"))))</f>
        <v/>
      </c>
      <c r="P11" s="15">
        <f>IF(S11="","",RANK(S11,$S$5:$S$54,0))</f>
        <v/>
      </c>
      <c r="Q11" s="16">
        <f>IF(B11="","",IF(E11="","Name who defined this rule.",IF(F11="","Name who decides where it applies.",IF(G11="","Name a validator and a validation date.",IF(J11="","Name who watches for changes.",IF(K11="","Name the owner of consequences.",IF(AND(ISNUMBER(M11),ISNUMBER(L11),M11&gt;L11),"Move it to the front of the validation queue.",IF(OR(H11="",AND(ISNUMBER(H11),H11&lt;TODAY())),"Validate it now and set the next date.","Governed. Validate on the next date.")))))))</f>
        <v/>
      </c>
      <c r="R11" s="13" t="n"/>
      <c r="S11" s="16">
        <f>IF(OR(B11="",O11="Governed"),"",(5-N11)*1000+IF(AND(ISNUMBER(M11),ISNUMBER(L11),M11&gt;L11),1500,0)+IF(OR(H11="",AND(ISNUMBER(H11),H11&lt;TODAY())),500,0)+IF(ISNUMBER(D11),MIN(D11,9999)/10000,0)-ROW()/1000000)</f>
        <v/>
      </c>
    </row>
    <row r="12">
      <c r="A12" s="13" t="inlineStr">
        <is>
          <t>R08</t>
        </is>
      </c>
      <c r="B12" s="13" t="inlineStr">
        <is>
          <t>Final pay timing by state</t>
        </is>
      </c>
      <c r="C12" s="13" t="inlineStr">
        <is>
          <t>Payroll system</t>
        </is>
      </c>
      <c r="D12" s="13" t="n">
        <v>60</v>
      </c>
      <c r="E12" s="13" t="inlineStr">
        <is>
          <t>Payroll manager</t>
        </is>
      </c>
      <c r="F12" s="13" t="inlineStr">
        <is>
          <t>Employment counsel</t>
        </is>
      </c>
      <c r="G12" s="13" t="inlineStr">
        <is>
          <t>Payroll manager</t>
        </is>
      </c>
      <c r="H12" s="14" t="n">
        <v>46446</v>
      </c>
      <c r="I12" s="13" t="inlineStr">
        <is>
          <t>State law changes</t>
        </is>
      </c>
      <c r="J12" s="13" t="inlineStr">
        <is>
          <t>Employment counsel</t>
        </is>
      </c>
      <c r="K12" s="13" t="inlineStr">
        <is>
          <t>VP People</t>
        </is>
      </c>
      <c r="L12" s="13" t="n">
        <v>1</v>
      </c>
      <c r="M12" s="13" t="n">
        <v>1</v>
      </c>
      <c r="N12" s="15">
        <f>IF(B12="","",5-COUNTBLANK(E12:G12)-COUNTBLANK(J12:K12))</f>
        <v/>
      </c>
      <c r="O12" s="15">
        <f>IF(B12="","",IF(N12&lt;5,"Blank found",IF(AND(ISNUMBER(M12),ISNUMBER(L12),M12&gt;L12),"Exceptions rising",IF(OR(H12="",AND(ISNUMBER(H12),H12&lt;TODAY())),"Validation overdue","Governed"))))</f>
        <v/>
      </c>
      <c r="P12" s="15">
        <f>IF(S12="","",RANK(S12,$S$5:$S$54,0))</f>
        <v/>
      </c>
      <c r="Q12" s="16">
        <f>IF(B12="","",IF(E12="","Name who defined this rule.",IF(F12="","Name who decides where it applies.",IF(G12="","Name a validator and a validation date.",IF(J12="","Name who watches for changes.",IF(K12="","Name the owner of consequences.",IF(AND(ISNUMBER(M12),ISNUMBER(L12),M12&gt;L12),"Move it to the front of the validation queue.",IF(OR(H12="",AND(ISNUMBER(H12),H12&lt;TODAY())),"Validate it now and set the next date.","Governed. Validate on the next date.")))))))</f>
        <v/>
      </c>
      <c r="R12" s="13" t="n"/>
      <c r="S12" s="16">
        <f>IF(OR(B12="",O12="Governed"),"",(5-N12)*1000+IF(AND(ISNUMBER(M12),ISNUMBER(L12),M12&gt;L12),1500,0)+IF(OR(H12="",AND(ISNUMBER(H12),H12&lt;TODAY())),500,0)+IF(ISNUMBER(D12),MIN(D12,9999)/10000,0)-ROW()/1000000)</f>
        <v/>
      </c>
    </row>
    <row r="13">
      <c r="A13" s="13" t="inlineStr">
        <is>
          <t>R09</t>
        </is>
      </c>
      <c r="B13" s="13" t="inlineStr">
        <is>
          <t>Bonus proration for partial-year employees</t>
        </is>
      </c>
      <c r="C13" s="13" t="inlineStr">
        <is>
          <t>Compensation spreadsheet</t>
        </is>
      </c>
      <c r="D13" s="13" t="n">
        <v>120</v>
      </c>
      <c r="E13" s="13" t="inlineStr">
        <is>
          <t>Compensation manager</t>
        </is>
      </c>
      <c r="F13" s="13" t="inlineStr">
        <is>
          <t>Compensation manager</t>
        </is>
      </c>
      <c r="G13" s="13" t="n"/>
      <c r="H13" s="14" t="n"/>
      <c r="I13" s="13" t="inlineStr">
        <is>
          <t>Plan design changes</t>
        </is>
      </c>
      <c r="J13" s="13" t="n"/>
      <c r="K13" s="13" t="inlineStr">
        <is>
          <t>CFO</t>
        </is>
      </c>
      <c r="L13" s="13" t="n">
        <v>0</v>
      </c>
      <c r="M13" s="13" t="n">
        <v>3</v>
      </c>
      <c r="N13" s="15">
        <f>IF(B13="","",5-COUNTBLANK(E13:G13)-COUNTBLANK(J13:K13))</f>
        <v/>
      </c>
      <c r="O13" s="15">
        <f>IF(B13="","",IF(N13&lt;5,"Blank found",IF(AND(ISNUMBER(M13),ISNUMBER(L13),M13&gt;L13),"Exceptions rising",IF(OR(H13="",AND(ISNUMBER(H13),H13&lt;TODAY())),"Validation overdue","Governed"))))</f>
        <v/>
      </c>
      <c r="P13" s="15">
        <f>IF(S13="","",RANK(S13,$S$5:$S$54,0))</f>
        <v/>
      </c>
      <c r="Q13" s="16">
        <f>IF(B13="","",IF(E13="","Name who defined this rule.",IF(F13="","Name who decides where it applies.",IF(G13="","Name a validator and a validation date.",IF(J13="","Name who watches for changes.",IF(K13="","Name the owner of consequences.",IF(AND(ISNUMBER(M13),ISNUMBER(L13),M13&gt;L13),"Move it to the front of the validation queue.",IF(OR(H13="",AND(ISNUMBER(H13),H13&lt;TODAY())),"Validate it now and set the next date.","Governed. Validate on the next date.")))))))</f>
        <v/>
      </c>
      <c r="R13" s="13" t="inlineStr">
        <is>
          <t>Lives in a spreadsheet, not a system.</t>
        </is>
      </c>
      <c r="S13" s="16">
        <f>IF(OR(B13="",O13="Governed"),"",(5-N13)*1000+IF(AND(ISNUMBER(M13),ISNUMBER(L13),M13&gt;L13),1500,0)+IF(OR(H13="",AND(ISNUMBER(H13),H13&lt;TODAY())),500,0)+IF(ISNUMBER(D13),MIN(D13,9999)/10000,0)-ROW()/1000000)</f>
        <v/>
      </c>
    </row>
    <row r="14">
      <c r="A14" s="13" t="inlineStr">
        <is>
          <t>R10</t>
        </is>
      </c>
      <c r="B14" s="13" t="inlineStr">
        <is>
          <t>Retroactive pay corrections after a period closes</t>
        </is>
      </c>
      <c r="C14" s="13" t="inlineStr">
        <is>
          <t>Payroll system</t>
        </is>
      </c>
      <c r="D14" s="13" t="n">
        <v>40</v>
      </c>
      <c r="E14" s="13" t="inlineStr">
        <is>
          <t>Payroll manager</t>
        </is>
      </c>
      <c r="F14" s="13" t="inlineStr">
        <is>
          <t>Payroll manager</t>
        </is>
      </c>
      <c r="G14" s="13" t="inlineStr">
        <is>
          <t>Payroll manager</t>
        </is>
      </c>
      <c r="H14" s="14" t="n">
        <v>46402</v>
      </c>
      <c r="I14" s="13" t="inlineStr">
        <is>
          <t>Rate changes after a pay period closes</t>
        </is>
      </c>
      <c r="J14" s="13" t="inlineStr">
        <is>
          <t>Payroll manager</t>
        </is>
      </c>
      <c r="K14" s="13" t="inlineStr">
        <is>
          <t>VP People</t>
        </is>
      </c>
      <c r="L14" s="13" t="n">
        <v>6</v>
      </c>
      <c r="M14" s="13" t="n">
        <v>9</v>
      </c>
      <c r="N14" s="15">
        <f>IF(B14="","",5-COUNTBLANK(E14:G14)-COUNTBLANK(J14:K14))</f>
        <v/>
      </c>
      <c r="O14" s="15">
        <f>IF(B14="","",IF(N14&lt;5,"Blank found",IF(AND(ISNUMBER(M14),ISNUMBER(L14),M14&gt;L14),"Exceptions rising",IF(OR(H14="",AND(ISNUMBER(H14),H14&lt;TODAY())),"Validation overdue","Governed"))))</f>
        <v/>
      </c>
      <c r="P14" s="15">
        <f>IF(S14="","",RANK(S14,$S$5:$S$54,0))</f>
        <v/>
      </c>
      <c r="Q14" s="16">
        <f>IF(B14="","",IF(E14="","Name who defined this rule.",IF(F14="","Name who decides where it applies.",IF(G14="","Name a validator and a validation date.",IF(J14="","Name who watches for changes.",IF(K14="","Name the owner of consequences.",IF(AND(ISNUMBER(M14),ISNUMBER(L14),M14&gt;L14),"Move it to the front of the validation queue.",IF(OR(H14="",AND(ISNUMBER(H14),H14&lt;TODAY())),"Validate it now and set the next date.","Governed. Validate on the next date.")))))))</f>
        <v/>
      </c>
      <c r="R14" s="13" t="n"/>
      <c r="S14" s="16">
        <f>IF(OR(B14="",O14="Governed"),"",(5-N14)*1000+IF(AND(ISNUMBER(M14),ISNUMBER(L14),M14&gt;L14),1500,0)+IF(OR(H14="",AND(ISNUMBER(H14),H14&lt;TODAY())),500,0)+IF(ISNUMBER(D14),MIN(D14,9999)/10000,0)-ROW()/1000000)</f>
        <v/>
      </c>
    </row>
    <row r="15">
      <c r="A15" s="13" t="inlineStr">
        <is>
          <t>R11</t>
        </is>
      </c>
      <c r="B15" s="13" t="n"/>
      <c r="C15" s="13" t="n"/>
      <c r="D15" s="13" t="n"/>
      <c r="E15" s="13" t="n"/>
      <c r="F15" s="13" t="n"/>
      <c r="G15" s="13" t="n"/>
      <c r="H15" s="14" t="n"/>
      <c r="I15" s="13" t="n"/>
      <c r="J15" s="13" t="n"/>
      <c r="K15" s="13" t="n"/>
      <c r="L15" s="13" t="n"/>
      <c r="M15" s="13" t="n"/>
      <c r="N15" s="15">
        <f>IF(B15="","",5-COUNTBLANK(E15:G15)-COUNTBLANK(J15:K15))</f>
        <v/>
      </c>
      <c r="O15" s="15">
        <f>IF(B15="","",IF(N15&lt;5,"Blank found",IF(AND(ISNUMBER(M15),ISNUMBER(L15),M15&gt;L15),"Exceptions rising",IF(OR(H15="",AND(ISNUMBER(H15),H15&lt;TODAY())),"Validation overdue","Governed"))))</f>
        <v/>
      </c>
      <c r="P15" s="15">
        <f>IF(S15="","",RANK(S15,$S$5:$S$54,0))</f>
        <v/>
      </c>
      <c r="Q15" s="16">
        <f>IF(B15="","",IF(E15="","Name who defined this rule.",IF(F15="","Name who decides where it applies.",IF(G15="","Name a validator and a validation date.",IF(J15="","Name who watches for changes.",IF(K15="","Name the owner of consequences.",IF(AND(ISNUMBER(M15),ISNUMBER(L15),M15&gt;L15),"Move it to the front of the validation queue.",IF(OR(H15="",AND(ISNUMBER(H15),H15&lt;TODAY())),"Validate it now and set the next date.","Governed. Validate on the next date.")))))))</f>
        <v/>
      </c>
      <c r="R15" s="13" t="n"/>
      <c r="S15" s="16">
        <f>IF(OR(B15="",O15="Governed"),"",(5-N15)*1000+IF(AND(ISNUMBER(M15),ISNUMBER(L15),M15&gt;L15),1500,0)+IF(OR(H15="",AND(ISNUMBER(H15),H15&lt;TODAY())),500,0)+IF(ISNUMBER(D15),MIN(D15,9999)/10000,0)-ROW()/1000000)</f>
        <v/>
      </c>
    </row>
    <row r="16">
      <c r="A16" s="13" t="inlineStr">
        <is>
          <t>R12</t>
        </is>
      </c>
      <c r="B16" s="13" t="n"/>
      <c r="C16" s="13" t="n"/>
      <c r="D16" s="13" t="n"/>
      <c r="E16" s="13" t="n"/>
      <c r="F16" s="13" t="n"/>
      <c r="G16" s="13" t="n"/>
      <c r="H16" s="14" t="n"/>
      <c r="I16" s="13" t="n"/>
      <c r="J16" s="13" t="n"/>
      <c r="K16" s="13" t="n"/>
      <c r="L16" s="13" t="n"/>
      <c r="M16" s="13" t="n"/>
      <c r="N16" s="15">
        <f>IF(B16="","",5-COUNTBLANK(E16:G16)-COUNTBLANK(J16:K16))</f>
        <v/>
      </c>
      <c r="O16" s="15">
        <f>IF(B16="","",IF(N16&lt;5,"Blank found",IF(AND(ISNUMBER(M16),ISNUMBER(L16),M16&gt;L16),"Exceptions rising",IF(OR(H16="",AND(ISNUMBER(H16),H16&lt;TODAY())),"Validation overdue","Governed"))))</f>
        <v/>
      </c>
      <c r="P16" s="15">
        <f>IF(S16="","",RANK(S16,$S$5:$S$54,0))</f>
        <v/>
      </c>
      <c r="Q16" s="16">
        <f>IF(B16="","",IF(E16="","Name who defined this rule.",IF(F16="","Name who decides where it applies.",IF(G16="","Name a validator and a validation date.",IF(J16="","Name who watches for changes.",IF(K16="","Name the owner of consequences.",IF(AND(ISNUMBER(M16),ISNUMBER(L16),M16&gt;L16),"Move it to the front of the validation queue.",IF(OR(H16="",AND(ISNUMBER(H16),H16&lt;TODAY())),"Validate it now and set the next date.","Governed. Validate on the next date.")))))))</f>
        <v/>
      </c>
      <c r="R16" s="13" t="n"/>
      <c r="S16" s="16">
        <f>IF(OR(B16="",O16="Governed"),"",(5-N16)*1000+IF(AND(ISNUMBER(M16),ISNUMBER(L16),M16&gt;L16),1500,0)+IF(OR(H16="",AND(ISNUMBER(H16),H16&lt;TODAY())),500,0)+IF(ISNUMBER(D16),MIN(D16,9999)/10000,0)-ROW()/1000000)</f>
        <v/>
      </c>
    </row>
    <row r="17">
      <c r="A17" s="13" t="inlineStr">
        <is>
          <t>R13</t>
        </is>
      </c>
      <c r="B17" s="13" t="n"/>
      <c r="C17" s="13" t="n"/>
      <c r="D17" s="13" t="n"/>
      <c r="E17" s="13" t="n"/>
      <c r="F17" s="13" t="n"/>
      <c r="G17" s="13" t="n"/>
      <c r="H17" s="14" t="n"/>
      <c r="I17" s="13" t="n"/>
      <c r="J17" s="13" t="n"/>
      <c r="K17" s="13" t="n"/>
      <c r="L17" s="13" t="n"/>
      <c r="M17" s="13" t="n"/>
      <c r="N17" s="15">
        <f>IF(B17="","",5-COUNTBLANK(E17:G17)-COUNTBLANK(J17:K17))</f>
        <v/>
      </c>
      <c r="O17" s="15">
        <f>IF(B17="","",IF(N17&lt;5,"Blank found",IF(AND(ISNUMBER(M17),ISNUMBER(L17),M17&gt;L17),"Exceptions rising",IF(OR(H17="",AND(ISNUMBER(H17),H17&lt;TODAY())),"Validation overdue","Governed"))))</f>
        <v/>
      </c>
      <c r="P17" s="15">
        <f>IF(S17="","",RANK(S17,$S$5:$S$54,0))</f>
        <v/>
      </c>
      <c r="Q17" s="16">
        <f>IF(B17="","",IF(E17="","Name who defined this rule.",IF(F17="","Name who decides where it applies.",IF(G17="","Name a validator and a validation date.",IF(J17="","Name who watches for changes.",IF(K17="","Name the owner of consequences.",IF(AND(ISNUMBER(M17),ISNUMBER(L17),M17&gt;L17),"Move it to the front of the validation queue.",IF(OR(H17="",AND(ISNUMBER(H17),H17&lt;TODAY())),"Validate it now and set the next date.","Governed. Validate on the next date.")))))))</f>
        <v/>
      </c>
      <c r="R17" s="13" t="n"/>
      <c r="S17" s="16">
        <f>IF(OR(B17="",O17="Governed"),"",(5-N17)*1000+IF(AND(ISNUMBER(M17),ISNUMBER(L17),M17&gt;L17),1500,0)+IF(OR(H17="",AND(ISNUMBER(H17),H17&lt;TODAY())),500,0)+IF(ISNUMBER(D17),MIN(D17,9999)/10000,0)-ROW()/1000000)</f>
        <v/>
      </c>
    </row>
    <row r="18">
      <c r="A18" s="13" t="inlineStr">
        <is>
          <t>R14</t>
        </is>
      </c>
      <c r="B18" s="13" t="n"/>
      <c r="C18" s="13" t="n"/>
      <c r="D18" s="13" t="n"/>
      <c r="E18" s="13" t="n"/>
      <c r="F18" s="13" t="n"/>
      <c r="G18" s="13" t="n"/>
      <c r="H18" s="14" t="n"/>
      <c r="I18" s="13" t="n"/>
      <c r="J18" s="13" t="n"/>
      <c r="K18" s="13" t="n"/>
      <c r="L18" s="13" t="n"/>
      <c r="M18" s="13" t="n"/>
      <c r="N18" s="15">
        <f>IF(B18="","",5-COUNTBLANK(E18:G18)-COUNTBLANK(J18:K18))</f>
        <v/>
      </c>
      <c r="O18" s="15">
        <f>IF(B18="","",IF(N18&lt;5,"Blank found",IF(AND(ISNUMBER(M18),ISNUMBER(L18),M18&gt;L18),"Exceptions rising",IF(OR(H18="",AND(ISNUMBER(H18),H18&lt;TODAY())),"Validation overdue","Governed"))))</f>
        <v/>
      </c>
      <c r="P18" s="15">
        <f>IF(S18="","",RANK(S18,$S$5:$S$54,0))</f>
        <v/>
      </c>
      <c r="Q18" s="16">
        <f>IF(B18="","",IF(E18="","Name who defined this rule.",IF(F18="","Name who decides where it applies.",IF(G18="","Name a validator and a validation date.",IF(J18="","Name who watches for changes.",IF(K18="","Name the owner of consequences.",IF(AND(ISNUMBER(M18),ISNUMBER(L18),M18&gt;L18),"Move it to the front of the validation queue.",IF(OR(H18="",AND(ISNUMBER(H18),H18&lt;TODAY())),"Validate it now and set the next date.","Governed. Validate on the next date.")))))))</f>
        <v/>
      </c>
      <c r="R18" s="13" t="n"/>
      <c r="S18" s="16">
        <f>IF(OR(B18="",O18="Governed"),"",(5-N18)*1000+IF(AND(ISNUMBER(M18),ISNUMBER(L18),M18&gt;L18),1500,0)+IF(OR(H18="",AND(ISNUMBER(H18),H18&lt;TODAY())),500,0)+IF(ISNUMBER(D18),MIN(D18,9999)/10000,0)-ROW()/1000000)</f>
        <v/>
      </c>
    </row>
    <row r="19">
      <c r="A19" s="13" t="inlineStr">
        <is>
          <t>R15</t>
        </is>
      </c>
      <c r="B19" s="13" t="n"/>
      <c r="C19" s="13" t="n"/>
      <c r="D19" s="13" t="n"/>
      <c r="E19" s="13" t="n"/>
      <c r="F19" s="13" t="n"/>
      <c r="G19" s="13" t="n"/>
      <c r="H19" s="14" t="n"/>
      <c r="I19" s="13" t="n"/>
      <c r="J19" s="13" t="n"/>
      <c r="K19" s="13" t="n"/>
      <c r="L19" s="13" t="n"/>
      <c r="M19" s="13" t="n"/>
      <c r="N19" s="15">
        <f>IF(B19="","",5-COUNTBLANK(E19:G19)-COUNTBLANK(J19:K19))</f>
        <v/>
      </c>
      <c r="O19" s="15">
        <f>IF(B19="","",IF(N19&lt;5,"Blank found",IF(AND(ISNUMBER(M19),ISNUMBER(L19),M19&gt;L19),"Exceptions rising",IF(OR(H19="",AND(ISNUMBER(H19),H19&lt;TODAY())),"Validation overdue","Governed"))))</f>
        <v/>
      </c>
      <c r="P19" s="15">
        <f>IF(S19="","",RANK(S19,$S$5:$S$54,0))</f>
        <v/>
      </c>
      <c r="Q19" s="16">
        <f>IF(B19="","",IF(E19="","Name who defined this rule.",IF(F19="","Name who decides where it applies.",IF(G19="","Name a validator and a validation date.",IF(J19="","Name who watches for changes.",IF(K19="","Name the owner of consequences.",IF(AND(ISNUMBER(M19),ISNUMBER(L19),M19&gt;L19),"Move it to the front of the validation queue.",IF(OR(H19="",AND(ISNUMBER(H19),H19&lt;TODAY())),"Validate it now and set the next date.","Governed. Validate on the next date.")))))))</f>
        <v/>
      </c>
      <c r="R19" s="13" t="n"/>
      <c r="S19" s="16">
        <f>IF(OR(B19="",O19="Governed"),"",(5-N19)*1000+IF(AND(ISNUMBER(M19),ISNUMBER(L19),M19&gt;L19),1500,0)+IF(OR(H19="",AND(ISNUMBER(H19),H19&lt;TODAY())),500,0)+IF(ISNUMBER(D19),MIN(D19,9999)/10000,0)-ROW()/1000000)</f>
        <v/>
      </c>
    </row>
    <row r="20">
      <c r="A20" s="13" t="inlineStr">
        <is>
          <t>R16</t>
        </is>
      </c>
      <c r="B20" s="13" t="n"/>
      <c r="C20" s="13" t="n"/>
      <c r="D20" s="13" t="n"/>
      <c r="E20" s="13" t="n"/>
      <c r="F20" s="13" t="n"/>
      <c r="G20" s="13" t="n"/>
      <c r="H20" s="14" t="n"/>
      <c r="I20" s="13" t="n"/>
      <c r="J20" s="13" t="n"/>
      <c r="K20" s="13" t="n"/>
      <c r="L20" s="13" t="n"/>
      <c r="M20" s="13" t="n"/>
      <c r="N20" s="15">
        <f>IF(B20="","",5-COUNTBLANK(E20:G20)-COUNTBLANK(J20:K20))</f>
        <v/>
      </c>
      <c r="O20" s="15">
        <f>IF(B20="","",IF(N20&lt;5,"Blank found",IF(AND(ISNUMBER(M20),ISNUMBER(L20),M20&gt;L20),"Exceptions rising",IF(OR(H20="",AND(ISNUMBER(H20),H20&lt;TODAY())),"Validation overdue","Governed"))))</f>
        <v/>
      </c>
      <c r="P20" s="15">
        <f>IF(S20="","",RANK(S20,$S$5:$S$54,0))</f>
        <v/>
      </c>
      <c r="Q20" s="16">
        <f>IF(B20="","",IF(E20="","Name who defined this rule.",IF(F20="","Name who decides where it applies.",IF(G20="","Name a validator and a validation date.",IF(J20="","Name who watches for changes.",IF(K20="","Name the owner of consequences.",IF(AND(ISNUMBER(M20),ISNUMBER(L20),M20&gt;L20),"Move it to the front of the validation queue.",IF(OR(H20="",AND(ISNUMBER(H20),H20&lt;TODAY())),"Validate it now and set the next date.","Governed. Validate on the next date.")))))))</f>
        <v/>
      </c>
      <c r="R20" s="13" t="n"/>
      <c r="S20" s="16">
        <f>IF(OR(B20="",O20="Governed"),"",(5-N20)*1000+IF(AND(ISNUMBER(M20),ISNUMBER(L20),M20&gt;L20),1500,0)+IF(OR(H20="",AND(ISNUMBER(H20),H20&lt;TODAY())),500,0)+IF(ISNUMBER(D20),MIN(D20,9999)/10000,0)-ROW()/1000000)</f>
        <v/>
      </c>
    </row>
    <row r="21">
      <c r="A21" s="13" t="inlineStr">
        <is>
          <t>R17</t>
        </is>
      </c>
      <c r="B21" s="13" t="n"/>
      <c r="C21" s="13" t="n"/>
      <c r="D21" s="13" t="n"/>
      <c r="E21" s="13" t="n"/>
      <c r="F21" s="13" t="n"/>
      <c r="G21" s="13" t="n"/>
      <c r="H21" s="14" t="n"/>
      <c r="I21" s="13" t="n"/>
      <c r="J21" s="13" t="n"/>
      <c r="K21" s="13" t="n"/>
      <c r="L21" s="13" t="n"/>
      <c r="M21" s="13" t="n"/>
      <c r="N21" s="15">
        <f>IF(B21="","",5-COUNTBLANK(E21:G21)-COUNTBLANK(J21:K21))</f>
        <v/>
      </c>
      <c r="O21" s="15">
        <f>IF(B21="","",IF(N21&lt;5,"Blank found",IF(AND(ISNUMBER(M21),ISNUMBER(L21),M21&gt;L21),"Exceptions rising",IF(OR(H21="",AND(ISNUMBER(H21),H21&lt;TODAY())),"Validation overdue","Governed"))))</f>
        <v/>
      </c>
      <c r="P21" s="15">
        <f>IF(S21="","",RANK(S21,$S$5:$S$54,0))</f>
        <v/>
      </c>
      <c r="Q21" s="16">
        <f>IF(B21="","",IF(E21="","Name who defined this rule.",IF(F21="","Name who decides where it applies.",IF(G21="","Name a validator and a validation date.",IF(J21="","Name who watches for changes.",IF(K21="","Name the owner of consequences.",IF(AND(ISNUMBER(M21),ISNUMBER(L21),M21&gt;L21),"Move it to the front of the validation queue.",IF(OR(H21="",AND(ISNUMBER(H21),H21&lt;TODAY())),"Validate it now and set the next date.","Governed. Validate on the next date.")))))))</f>
        <v/>
      </c>
      <c r="R21" s="13" t="n"/>
      <c r="S21" s="16">
        <f>IF(OR(B21="",O21="Governed"),"",(5-N21)*1000+IF(AND(ISNUMBER(M21),ISNUMBER(L21),M21&gt;L21),1500,0)+IF(OR(H21="",AND(ISNUMBER(H21),H21&lt;TODAY())),500,0)+IF(ISNUMBER(D21),MIN(D21,9999)/10000,0)-ROW()/1000000)</f>
        <v/>
      </c>
    </row>
    <row r="22">
      <c r="A22" s="13" t="inlineStr">
        <is>
          <t>R18</t>
        </is>
      </c>
      <c r="B22" s="13" t="n"/>
      <c r="C22" s="13" t="n"/>
      <c r="D22" s="13" t="n"/>
      <c r="E22" s="13" t="n"/>
      <c r="F22" s="13" t="n"/>
      <c r="G22" s="13" t="n"/>
      <c r="H22" s="14" t="n"/>
      <c r="I22" s="13" t="n"/>
      <c r="J22" s="13" t="n"/>
      <c r="K22" s="13" t="n"/>
      <c r="L22" s="13" t="n"/>
      <c r="M22" s="13" t="n"/>
      <c r="N22" s="15">
        <f>IF(B22="","",5-COUNTBLANK(E22:G22)-COUNTBLANK(J22:K22))</f>
        <v/>
      </c>
      <c r="O22" s="15">
        <f>IF(B22="","",IF(N22&lt;5,"Blank found",IF(AND(ISNUMBER(M22),ISNUMBER(L22),M22&gt;L22),"Exceptions rising",IF(OR(H22="",AND(ISNUMBER(H22),H22&lt;TODAY())),"Validation overdue","Governed"))))</f>
        <v/>
      </c>
      <c r="P22" s="15">
        <f>IF(S22="","",RANK(S22,$S$5:$S$54,0))</f>
        <v/>
      </c>
      <c r="Q22" s="16">
        <f>IF(B22="","",IF(E22="","Name who defined this rule.",IF(F22="","Name who decides where it applies.",IF(G22="","Name a validator and a validation date.",IF(J22="","Name who watches for changes.",IF(K22="","Name the owner of consequences.",IF(AND(ISNUMBER(M22),ISNUMBER(L22),M22&gt;L22),"Move it to the front of the validation queue.",IF(OR(H22="",AND(ISNUMBER(H22),H22&lt;TODAY())),"Validate it now and set the next date.","Governed. Validate on the next date.")))))))</f>
        <v/>
      </c>
      <c r="R22" s="13" t="n"/>
      <c r="S22" s="16">
        <f>IF(OR(B22="",O22="Governed"),"",(5-N22)*1000+IF(AND(ISNUMBER(M22),ISNUMBER(L22),M22&gt;L22),1500,0)+IF(OR(H22="",AND(ISNUMBER(H22),H22&lt;TODAY())),500,0)+IF(ISNUMBER(D22),MIN(D22,9999)/10000,0)-ROW()/1000000)</f>
        <v/>
      </c>
    </row>
    <row r="23">
      <c r="A23" s="13" t="inlineStr">
        <is>
          <t>R19</t>
        </is>
      </c>
      <c r="B23" s="13" t="n"/>
      <c r="C23" s="13" t="n"/>
      <c r="D23" s="13" t="n"/>
      <c r="E23" s="13" t="n"/>
      <c r="F23" s="13" t="n"/>
      <c r="G23" s="13" t="n"/>
      <c r="H23" s="14" t="n"/>
      <c r="I23" s="13" t="n"/>
      <c r="J23" s="13" t="n"/>
      <c r="K23" s="13" t="n"/>
      <c r="L23" s="13" t="n"/>
      <c r="M23" s="13" t="n"/>
      <c r="N23" s="15">
        <f>IF(B23="","",5-COUNTBLANK(E23:G23)-COUNTBLANK(J23:K23))</f>
        <v/>
      </c>
      <c r="O23" s="15">
        <f>IF(B23="","",IF(N23&lt;5,"Blank found",IF(AND(ISNUMBER(M23),ISNUMBER(L23),M23&gt;L23),"Exceptions rising",IF(OR(H23="",AND(ISNUMBER(H23),H23&lt;TODAY())),"Validation overdue","Governed"))))</f>
        <v/>
      </c>
      <c r="P23" s="15">
        <f>IF(S23="","",RANK(S23,$S$5:$S$54,0))</f>
        <v/>
      </c>
      <c r="Q23" s="16">
        <f>IF(B23="","",IF(E23="","Name who defined this rule.",IF(F23="","Name who decides where it applies.",IF(G23="","Name a validator and a validation date.",IF(J23="","Name who watches for changes.",IF(K23="","Name the owner of consequences.",IF(AND(ISNUMBER(M23),ISNUMBER(L23),M23&gt;L23),"Move it to the front of the validation queue.",IF(OR(H23="",AND(ISNUMBER(H23),H23&lt;TODAY())),"Validate it now and set the next date.","Governed. Validate on the next date.")))))))</f>
        <v/>
      </c>
      <c r="R23" s="13" t="n"/>
      <c r="S23" s="16">
        <f>IF(OR(B23="",O23="Governed"),"",(5-N23)*1000+IF(AND(ISNUMBER(M23),ISNUMBER(L23),M23&gt;L23),1500,0)+IF(OR(H23="",AND(ISNUMBER(H23),H23&lt;TODAY())),500,0)+IF(ISNUMBER(D23),MIN(D23,9999)/10000,0)-ROW()/1000000)</f>
        <v/>
      </c>
    </row>
    <row r="24">
      <c r="A24" s="13" t="inlineStr">
        <is>
          <t>R20</t>
        </is>
      </c>
      <c r="B24" s="13" t="n"/>
      <c r="C24" s="13" t="n"/>
      <c r="D24" s="13" t="n"/>
      <c r="E24" s="13" t="n"/>
      <c r="F24" s="13" t="n"/>
      <c r="G24" s="13" t="n"/>
      <c r="H24" s="14" t="n"/>
      <c r="I24" s="13" t="n"/>
      <c r="J24" s="13" t="n"/>
      <c r="K24" s="13" t="n"/>
      <c r="L24" s="13" t="n"/>
      <c r="M24" s="13" t="n"/>
      <c r="N24" s="15">
        <f>IF(B24="","",5-COUNTBLANK(E24:G24)-COUNTBLANK(J24:K24))</f>
        <v/>
      </c>
      <c r="O24" s="15">
        <f>IF(B24="","",IF(N24&lt;5,"Blank found",IF(AND(ISNUMBER(M24),ISNUMBER(L24),M24&gt;L24),"Exceptions rising",IF(OR(H24="",AND(ISNUMBER(H24),H24&lt;TODAY())),"Validation overdue","Governed"))))</f>
        <v/>
      </c>
      <c r="P24" s="15">
        <f>IF(S24="","",RANK(S24,$S$5:$S$54,0))</f>
        <v/>
      </c>
      <c r="Q24" s="16">
        <f>IF(B24="","",IF(E24="","Name who defined this rule.",IF(F24="","Name who decides where it applies.",IF(G24="","Name a validator and a validation date.",IF(J24="","Name who watches for changes.",IF(K24="","Name the owner of consequences.",IF(AND(ISNUMBER(M24),ISNUMBER(L24),M24&gt;L24),"Move it to the front of the validation queue.",IF(OR(H24="",AND(ISNUMBER(H24),H24&lt;TODAY())),"Validate it now and set the next date.","Governed. Validate on the next date.")))))))</f>
        <v/>
      </c>
      <c r="R24" s="13" t="n"/>
      <c r="S24" s="16">
        <f>IF(OR(B24="",O24="Governed"),"",(5-N24)*1000+IF(AND(ISNUMBER(M24),ISNUMBER(L24),M24&gt;L24),1500,0)+IF(OR(H24="",AND(ISNUMBER(H24),H24&lt;TODAY())),500,0)+IF(ISNUMBER(D24),MIN(D24,9999)/10000,0)-ROW()/1000000)</f>
        <v/>
      </c>
    </row>
    <row r="25">
      <c r="A25" s="13" t="inlineStr">
        <is>
          <t>R21</t>
        </is>
      </c>
      <c r="B25" s="13" t="n"/>
      <c r="C25" s="13" t="n"/>
      <c r="D25" s="13" t="n"/>
      <c r="E25" s="13" t="n"/>
      <c r="F25" s="13" t="n"/>
      <c r="G25" s="13" t="n"/>
      <c r="H25" s="14" t="n"/>
      <c r="I25" s="13" t="n"/>
      <c r="J25" s="13" t="n"/>
      <c r="K25" s="13" t="n"/>
      <c r="L25" s="13" t="n"/>
      <c r="M25" s="13" t="n"/>
      <c r="N25" s="15">
        <f>IF(B25="","",5-COUNTBLANK(E25:G25)-COUNTBLANK(J25:K25))</f>
        <v/>
      </c>
      <c r="O25" s="15">
        <f>IF(B25="","",IF(N25&lt;5,"Blank found",IF(AND(ISNUMBER(M25),ISNUMBER(L25),M25&gt;L25),"Exceptions rising",IF(OR(H25="",AND(ISNUMBER(H25),H25&lt;TODAY())),"Validation overdue","Governed"))))</f>
        <v/>
      </c>
      <c r="P25" s="15">
        <f>IF(S25="","",RANK(S25,$S$5:$S$54,0))</f>
        <v/>
      </c>
      <c r="Q25" s="16">
        <f>IF(B25="","",IF(E25="","Name who defined this rule.",IF(F25="","Name who decides where it applies.",IF(G25="","Name a validator and a validation date.",IF(J25="","Name who watches for changes.",IF(K25="","Name the owner of consequences.",IF(AND(ISNUMBER(M25),ISNUMBER(L25),M25&gt;L25),"Move it to the front of the validation queue.",IF(OR(H25="",AND(ISNUMBER(H25),H25&lt;TODAY())),"Validate it now and set the next date.","Governed. Validate on the next date.")))))))</f>
        <v/>
      </c>
      <c r="R25" s="13" t="n"/>
      <c r="S25" s="16">
        <f>IF(OR(B25="",O25="Governed"),"",(5-N25)*1000+IF(AND(ISNUMBER(M25),ISNUMBER(L25),M25&gt;L25),1500,0)+IF(OR(H25="",AND(ISNUMBER(H25),H25&lt;TODAY())),500,0)+IF(ISNUMBER(D25),MIN(D25,9999)/10000,0)-ROW()/1000000)</f>
        <v/>
      </c>
    </row>
    <row r="26">
      <c r="A26" s="13" t="inlineStr">
        <is>
          <t>R22</t>
        </is>
      </c>
      <c r="B26" s="13" t="n"/>
      <c r="C26" s="13" t="n"/>
      <c r="D26" s="13" t="n"/>
      <c r="E26" s="13" t="n"/>
      <c r="F26" s="13" t="n"/>
      <c r="G26" s="13" t="n"/>
      <c r="H26" s="14" t="n"/>
      <c r="I26" s="13" t="n"/>
      <c r="J26" s="13" t="n"/>
      <c r="K26" s="13" t="n"/>
      <c r="L26" s="13" t="n"/>
      <c r="M26" s="13" t="n"/>
      <c r="N26" s="15">
        <f>IF(B26="","",5-COUNTBLANK(E26:G26)-COUNTBLANK(J26:K26))</f>
        <v/>
      </c>
      <c r="O26" s="15">
        <f>IF(B26="","",IF(N26&lt;5,"Blank found",IF(AND(ISNUMBER(M26),ISNUMBER(L26),M26&gt;L26),"Exceptions rising",IF(OR(H26="",AND(ISNUMBER(H26),H26&lt;TODAY())),"Validation overdue","Governed"))))</f>
        <v/>
      </c>
      <c r="P26" s="15">
        <f>IF(S26="","",RANK(S26,$S$5:$S$54,0))</f>
        <v/>
      </c>
      <c r="Q26" s="16">
        <f>IF(B26="","",IF(E26="","Name who defined this rule.",IF(F26="","Name who decides where it applies.",IF(G26="","Name a validator and a validation date.",IF(J26="","Name who watches for changes.",IF(K26="","Name the owner of consequences.",IF(AND(ISNUMBER(M26),ISNUMBER(L26),M26&gt;L26),"Move it to the front of the validation queue.",IF(OR(H26="",AND(ISNUMBER(H26),H26&lt;TODAY())),"Validate it now and set the next date.","Governed. Validate on the next date.")))))))</f>
        <v/>
      </c>
      <c r="R26" s="13" t="n"/>
      <c r="S26" s="16">
        <f>IF(OR(B26="",O26="Governed"),"",(5-N26)*1000+IF(AND(ISNUMBER(M26),ISNUMBER(L26),M26&gt;L26),1500,0)+IF(OR(H26="",AND(ISNUMBER(H26),H26&lt;TODAY())),500,0)+IF(ISNUMBER(D26),MIN(D26,9999)/10000,0)-ROW()/1000000)</f>
        <v/>
      </c>
    </row>
    <row r="27">
      <c r="A27" s="13" t="inlineStr">
        <is>
          <t>R23</t>
        </is>
      </c>
      <c r="B27" s="13" t="n"/>
      <c r="C27" s="13" t="n"/>
      <c r="D27" s="13" t="n"/>
      <c r="E27" s="13" t="n"/>
      <c r="F27" s="13" t="n"/>
      <c r="G27" s="13" t="n"/>
      <c r="H27" s="14" t="n"/>
      <c r="I27" s="13" t="n"/>
      <c r="J27" s="13" t="n"/>
      <c r="K27" s="13" t="n"/>
      <c r="L27" s="13" t="n"/>
      <c r="M27" s="13" t="n"/>
      <c r="N27" s="15">
        <f>IF(B27="","",5-COUNTBLANK(E27:G27)-COUNTBLANK(J27:K27))</f>
        <v/>
      </c>
      <c r="O27" s="15">
        <f>IF(B27="","",IF(N27&lt;5,"Blank found",IF(AND(ISNUMBER(M27),ISNUMBER(L27),M27&gt;L27),"Exceptions rising",IF(OR(H27="",AND(ISNUMBER(H27),H27&lt;TODAY())),"Validation overdue","Governed"))))</f>
        <v/>
      </c>
      <c r="P27" s="15">
        <f>IF(S27="","",RANK(S27,$S$5:$S$54,0))</f>
        <v/>
      </c>
      <c r="Q27" s="16">
        <f>IF(B27="","",IF(E27="","Name who defined this rule.",IF(F27="","Name who decides where it applies.",IF(G27="","Name a validator and a validation date.",IF(J27="","Name who watches for changes.",IF(K27="","Name the owner of consequences.",IF(AND(ISNUMBER(M27),ISNUMBER(L27),M27&gt;L27),"Move it to the front of the validation queue.",IF(OR(H27="",AND(ISNUMBER(H27),H27&lt;TODAY())),"Validate it now and set the next date.","Governed. Validate on the next date.")))))))</f>
        <v/>
      </c>
      <c r="R27" s="13" t="n"/>
      <c r="S27" s="16">
        <f>IF(OR(B27="",O27="Governed"),"",(5-N27)*1000+IF(AND(ISNUMBER(M27),ISNUMBER(L27),M27&gt;L27),1500,0)+IF(OR(H27="",AND(ISNUMBER(H27),H27&lt;TODAY())),500,0)+IF(ISNUMBER(D27),MIN(D27,9999)/10000,0)-ROW()/1000000)</f>
        <v/>
      </c>
    </row>
    <row r="28">
      <c r="A28" s="13" t="inlineStr">
        <is>
          <t>R24</t>
        </is>
      </c>
      <c r="B28" s="13" t="n"/>
      <c r="C28" s="13" t="n"/>
      <c r="D28" s="13" t="n"/>
      <c r="E28" s="13" t="n"/>
      <c r="F28" s="13" t="n"/>
      <c r="G28" s="13" t="n"/>
      <c r="H28" s="14" t="n"/>
      <c r="I28" s="13" t="n"/>
      <c r="J28" s="13" t="n"/>
      <c r="K28" s="13" t="n"/>
      <c r="L28" s="13" t="n"/>
      <c r="M28" s="13" t="n"/>
      <c r="N28" s="15">
        <f>IF(B28="","",5-COUNTBLANK(E28:G28)-COUNTBLANK(J28:K28))</f>
        <v/>
      </c>
      <c r="O28" s="15">
        <f>IF(B28="","",IF(N28&lt;5,"Blank found",IF(AND(ISNUMBER(M28),ISNUMBER(L28),M28&gt;L28),"Exceptions rising",IF(OR(H28="",AND(ISNUMBER(H28),H28&lt;TODAY())),"Validation overdue","Governed"))))</f>
        <v/>
      </c>
      <c r="P28" s="15">
        <f>IF(S28="","",RANK(S28,$S$5:$S$54,0))</f>
        <v/>
      </c>
      <c r="Q28" s="16">
        <f>IF(B28="","",IF(E28="","Name who defined this rule.",IF(F28="","Name who decides where it applies.",IF(G28="","Name a validator and a validation date.",IF(J28="","Name who watches for changes.",IF(K28="","Name the owner of consequences.",IF(AND(ISNUMBER(M28),ISNUMBER(L28),M28&gt;L28),"Move it to the front of the validation queue.",IF(OR(H28="",AND(ISNUMBER(H28),H28&lt;TODAY())),"Validate it now and set the next date.","Governed. Validate on the next date.")))))))</f>
        <v/>
      </c>
      <c r="R28" s="13" t="n"/>
      <c r="S28" s="16">
        <f>IF(OR(B28="",O28="Governed"),"",(5-N28)*1000+IF(AND(ISNUMBER(M28),ISNUMBER(L28),M28&gt;L28),1500,0)+IF(OR(H28="",AND(ISNUMBER(H28),H28&lt;TODAY())),500,0)+IF(ISNUMBER(D28),MIN(D28,9999)/10000,0)-ROW()/1000000)</f>
        <v/>
      </c>
    </row>
    <row r="29">
      <c r="A29" s="13" t="inlineStr">
        <is>
          <t>R25</t>
        </is>
      </c>
      <c r="B29" s="13" t="n"/>
      <c r="C29" s="13" t="n"/>
      <c r="D29" s="13" t="n"/>
      <c r="E29" s="13" t="n"/>
      <c r="F29" s="13" t="n"/>
      <c r="G29" s="13" t="n"/>
      <c r="H29" s="14" t="n"/>
      <c r="I29" s="13" t="n"/>
      <c r="J29" s="13" t="n"/>
      <c r="K29" s="13" t="n"/>
      <c r="L29" s="13" t="n"/>
      <c r="M29" s="13" t="n"/>
      <c r="N29" s="15">
        <f>IF(B29="","",5-COUNTBLANK(E29:G29)-COUNTBLANK(J29:K29))</f>
        <v/>
      </c>
      <c r="O29" s="15">
        <f>IF(B29="","",IF(N29&lt;5,"Blank found",IF(AND(ISNUMBER(M29),ISNUMBER(L29),M29&gt;L29),"Exceptions rising",IF(OR(H29="",AND(ISNUMBER(H29),H29&lt;TODAY())),"Validation overdue","Governed"))))</f>
        <v/>
      </c>
      <c r="P29" s="15">
        <f>IF(S29="","",RANK(S29,$S$5:$S$54,0))</f>
        <v/>
      </c>
      <c r="Q29" s="16">
        <f>IF(B29="","",IF(E29="","Name who defined this rule.",IF(F29="","Name who decides where it applies.",IF(G29="","Name a validator and a validation date.",IF(J29="","Name who watches for changes.",IF(K29="","Name the owner of consequences.",IF(AND(ISNUMBER(M29),ISNUMBER(L29),M29&gt;L29),"Move it to the front of the validation queue.",IF(OR(H29="",AND(ISNUMBER(H29),H29&lt;TODAY())),"Validate it now and set the next date.","Governed. Validate on the next date.")))))))</f>
        <v/>
      </c>
      <c r="R29" s="13" t="n"/>
      <c r="S29" s="16">
        <f>IF(OR(B29="",O29="Governed"),"",(5-N29)*1000+IF(AND(ISNUMBER(M29),ISNUMBER(L29),M29&gt;L29),1500,0)+IF(OR(H29="",AND(ISNUMBER(H29),H29&lt;TODAY())),500,0)+IF(ISNUMBER(D29),MIN(D29,9999)/10000,0)-ROW()/1000000)</f>
        <v/>
      </c>
    </row>
    <row r="30">
      <c r="A30" s="13" t="inlineStr">
        <is>
          <t>R26</t>
        </is>
      </c>
      <c r="B30" s="13" t="n"/>
      <c r="C30" s="13" t="n"/>
      <c r="D30" s="13" t="n"/>
      <c r="E30" s="13" t="n"/>
      <c r="F30" s="13" t="n"/>
      <c r="G30" s="13" t="n"/>
      <c r="H30" s="14" t="n"/>
      <c r="I30" s="13" t="n"/>
      <c r="J30" s="13" t="n"/>
      <c r="K30" s="13" t="n"/>
      <c r="L30" s="13" t="n"/>
      <c r="M30" s="13" t="n"/>
      <c r="N30" s="15">
        <f>IF(B30="","",5-COUNTBLANK(E30:G30)-COUNTBLANK(J30:K30))</f>
        <v/>
      </c>
      <c r="O30" s="15">
        <f>IF(B30="","",IF(N30&lt;5,"Blank found",IF(AND(ISNUMBER(M30),ISNUMBER(L30),M30&gt;L30),"Exceptions rising",IF(OR(H30="",AND(ISNUMBER(H30),H30&lt;TODAY())),"Validation overdue","Governed"))))</f>
        <v/>
      </c>
      <c r="P30" s="15">
        <f>IF(S30="","",RANK(S30,$S$5:$S$54,0))</f>
        <v/>
      </c>
      <c r="Q30" s="16">
        <f>IF(B30="","",IF(E30="","Name who defined this rule.",IF(F30="","Name who decides where it applies.",IF(G30="","Name a validator and a validation date.",IF(J30="","Name who watches for changes.",IF(K30="","Name the owner of consequences.",IF(AND(ISNUMBER(M30),ISNUMBER(L30),M30&gt;L30),"Move it to the front of the validation queue.",IF(OR(H30="",AND(ISNUMBER(H30),H30&lt;TODAY())),"Validate it now and set the next date.","Governed. Validate on the next date.")))))))</f>
        <v/>
      </c>
      <c r="R30" s="13" t="n"/>
      <c r="S30" s="16">
        <f>IF(OR(B30="",O30="Governed"),"",(5-N30)*1000+IF(AND(ISNUMBER(M30),ISNUMBER(L30),M30&gt;L30),1500,0)+IF(OR(H30="",AND(ISNUMBER(H30),H30&lt;TODAY())),500,0)+IF(ISNUMBER(D30),MIN(D30,9999)/10000,0)-ROW()/1000000)</f>
        <v/>
      </c>
    </row>
    <row r="31">
      <c r="A31" s="13" t="inlineStr">
        <is>
          <t>R27</t>
        </is>
      </c>
      <c r="B31" s="13" t="n"/>
      <c r="C31" s="13" t="n"/>
      <c r="D31" s="13" t="n"/>
      <c r="E31" s="13" t="n"/>
      <c r="F31" s="13" t="n"/>
      <c r="G31" s="13" t="n"/>
      <c r="H31" s="14" t="n"/>
      <c r="I31" s="13" t="n"/>
      <c r="J31" s="13" t="n"/>
      <c r="K31" s="13" t="n"/>
      <c r="L31" s="13" t="n"/>
      <c r="M31" s="13" t="n"/>
      <c r="N31" s="15">
        <f>IF(B31="","",5-COUNTBLANK(E31:G31)-COUNTBLANK(J31:K31))</f>
        <v/>
      </c>
      <c r="O31" s="15">
        <f>IF(B31="","",IF(N31&lt;5,"Blank found",IF(AND(ISNUMBER(M31),ISNUMBER(L31),M31&gt;L31),"Exceptions rising",IF(OR(H31="",AND(ISNUMBER(H31),H31&lt;TODAY())),"Validation overdue","Governed"))))</f>
        <v/>
      </c>
      <c r="P31" s="15">
        <f>IF(S31="","",RANK(S31,$S$5:$S$54,0))</f>
        <v/>
      </c>
      <c r="Q31" s="16">
        <f>IF(B31="","",IF(E31="","Name who defined this rule.",IF(F31="","Name who decides where it applies.",IF(G31="","Name a validator and a validation date.",IF(J31="","Name who watches for changes.",IF(K31="","Name the owner of consequences.",IF(AND(ISNUMBER(M31),ISNUMBER(L31),M31&gt;L31),"Move it to the front of the validation queue.",IF(OR(H31="",AND(ISNUMBER(H31),H31&lt;TODAY())),"Validate it now and set the next date.","Governed. Validate on the next date.")))))))</f>
        <v/>
      </c>
      <c r="R31" s="13" t="n"/>
      <c r="S31" s="16">
        <f>IF(OR(B31="",O31="Governed"),"",(5-N31)*1000+IF(AND(ISNUMBER(M31),ISNUMBER(L31),M31&gt;L31),1500,0)+IF(OR(H31="",AND(ISNUMBER(H31),H31&lt;TODAY())),500,0)+IF(ISNUMBER(D31),MIN(D31,9999)/10000,0)-ROW()/1000000)</f>
        <v/>
      </c>
    </row>
    <row r="32">
      <c r="A32" s="13" t="inlineStr">
        <is>
          <t>R28</t>
        </is>
      </c>
      <c r="B32" s="13" t="n"/>
      <c r="C32" s="13" t="n"/>
      <c r="D32" s="13" t="n"/>
      <c r="E32" s="13" t="n"/>
      <c r="F32" s="13" t="n"/>
      <c r="G32" s="13" t="n"/>
      <c r="H32" s="14" t="n"/>
      <c r="I32" s="13" t="n"/>
      <c r="J32" s="13" t="n"/>
      <c r="K32" s="13" t="n"/>
      <c r="L32" s="13" t="n"/>
      <c r="M32" s="13" t="n"/>
      <c r="N32" s="15">
        <f>IF(B32="","",5-COUNTBLANK(E32:G32)-COUNTBLANK(J32:K32))</f>
        <v/>
      </c>
      <c r="O32" s="15">
        <f>IF(B32="","",IF(N32&lt;5,"Blank found",IF(AND(ISNUMBER(M32),ISNUMBER(L32),M32&gt;L32),"Exceptions rising",IF(OR(H32="",AND(ISNUMBER(H32),H32&lt;TODAY())),"Validation overdue","Governed"))))</f>
        <v/>
      </c>
      <c r="P32" s="15">
        <f>IF(S32="","",RANK(S32,$S$5:$S$54,0))</f>
        <v/>
      </c>
      <c r="Q32" s="16">
        <f>IF(B32="","",IF(E32="","Name who defined this rule.",IF(F32="","Name who decides where it applies.",IF(G32="","Name a validator and a validation date.",IF(J32="","Name who watches for changes.",IF(K32="","Name the owner of consequences.",IF(AND(ISNUMBER(M32),ISNUMBER(L32),M32&gt;L32),"Move it to the front of the validation queue.",IF(OR(H32="",AND(ISNUMBER(H32),H32&lt;TODAY())),"Validate it now and set the next date.","Governed. Validate on the next date.")))))))</f>
        <v/>
      </c>
      <c r="R32" s="13" t="n"/>
      <c r="S32" s="16">
        <f>IF(OR(B32="",O32="Governed"),"",(5-N32)*1000+IF(AND(ISNUMBER(M32),ISNUMBER(L32),M32&gt;L32),1500,0)+IF(OR(H32="",AND(ISNUMBER(H32),H32&lt;TODAY())),500,0)+IF(ISNUMBER(D32),MIN(D32,9999)/10000,0)-ROW()/1000000)</f>
        <v/>
      </c>
    </row>
    <row r="33">
      <c r="A33" s="13" t="inlineStr">
        <is>
          <t>R29</t>
        </is>
      </c>
      <c r="B33" s="13" t="n"/>
      <c r="C33" s="13" t="n"/>
      <c r="D33" s="13" t="n"/>
      <c r="E33" s="13" t="n"/>
      <c r="F33" s="13" t="n"/>
      <c r="G33" s="13" t="n"/>
      <c r="H33" s="14" t="n"/>
      <c r="I33" s="13" t="n"/>
      <c r="J33" s="13" t="n"/>
      <c r="K33" s="13" t="n"/>
      <c r="L33" s="13" t="n"/>
      <c r="M33" s="13" t="n"/>
      <c r="N33" s="15">
        <f>IF(B33="","",5-COUNTBLANK(E33:G33)-COUNTBLANK(J33:K33))</f>
        <v/>
      </c>
      <c r="O33" s="15">
        <f>IF(B33="","",IF(N33&lt;5,"Blank found",IF(AND(ISNUMBER(M33),ISNUMBER(L33),M33&gt;L33),"Exceptions rising",IF(OR(H33="",AND(ISNUMBER(H33),H33&lt;TODAY())),"Validation overdue","Governed"))))</f>
        <v/>
      </c>
      <c r="P33" s="15">
        <f>IF(S33="","",RANK(S33,$S$5:$S$54,0))</f>
        <v/>
      </c>
      <c r="Q33" s="16">
        <f>IF(B33="","",IF(E33="","Name who defined this rule.",IF(F33="","Name who decides where it applies.",IF(G33="","Name a validator and a validation date.",IF(J33="","Name who watches for changes.",IF(K33="","Name the owner of consequences.",IF(AND(ISNUMBER(M33),ISNUMBER(L33),M33&gt;L33),"Move it to the front of the validation queue.",IF(OR(H33="",AND(ISNUMBER(H33),H33&lt;TODAY())),"Validate it now and set the next date.","Governed. Validate on the next date.")))))))</f>
        <v/>
      </c>
      <c r="R33" s="13" t="n"/>
      <c r="S33" s="16">
        <f>IF(OR(B33="",O33="Governed"),"",(5-N33)*1000+IF(AND(ISNUMBER(M33),ISNUMBER(L33),M33&gt;L33),1500,0)+IF(OR(H33="",AND(ISNUMBER(H33),H33&lt;TODAY())),500,0)+IF(ISNUMBER(D33),MIN(D33,9999)/10000,0)-ROW()/1000000)</f>
        <v/>
      </c>
    </row>
    <row r="34">
      <c r="A34" s="13" t="inlineStr">
        <is>
          <t>R30</t>
        </is>
      </c>
      <c r="B34" s="13" t="n"/>
      <c r="C34" s="13" t="n"/>
      <c r="D34" s="13" t="n"/>
      <c r="E34" s="13" t="n"/>
      <c r="F34" s="13" t="n"/>
      <c r="G34" s="13" t="n"/>
      <c r="H34" s="14" t="n"/>
      <c r="I34" s="13" t="n"/>
      <c r="J34" s="13" t="n"/>
      <c r="K34" s="13" t="n"/>
      <c r="L34" s="13" t="n"/>
      <c r="M34" s="13" t="n"/>
      <c r="N34" s="15">
        <f>IF(B34="","",5-COUNTBLANK(E34:G34)-COUNTBLANK(J34:K34))</f>
        <v/>
      </c>
      <c r="O34" s="15">
        <f>IF(B34="","",IF(N34&lt;5,"Blank found",IF(AND(ISNUMBER(M34),ISNUMBER(L34),M34&gt;L34),"Exceptions rising",IF(OR(H34="",AND(ISNUMBER(H34),H34&lt;TODAY())),"Validation overdue","Governed"))))</f>
        <v/>
      </c>
      <c r="P34" s="15">
        <f>IF(S34="","",RANK(S34,$S$5:$S$54,0))</f>
        <v/>
      </c>
      <c r="Q34" s="16">
        <f>IF(B34="","",IF(E34="","Name who defined this rule.",IF(F34="","Name who decides where it applies.",IF(G34="","Name a validator and a validation date.",IF(J34="","Name who watches for changes.",IF(K34="","Name the owner of consequences.",IF(AND(ISNUMBER(M34),ISNUMBER(L34),M34&gt;L34),"Move it to the front of the validation queue.",IF(OR(H34="",AND(ISNUMBER(H34),H34&lt;TODAY())),"Validate it now and set the next date.","Governed. Validate on the next date.")))))))</f>
        <v/>
      </c>
      <c r="R34" s="13" t="n"/>
      <c r="S34" s="16">
        <f>IF(OR(B34="",O34="Governed"),"",(5-N34)*1000+IF(AND(ISNUMBER(M34),ISNUMBER(L34),M34&gt;L34),1500,0)+IF(OR(H34="",AND(ISNUMBER(H34),H34&lt;TODAY())),500,0)+IF(ISNUMBER(D34),MIN(D34,9999)/10000,0)-ROW()/1000000)</f>
        <v/>
      </c>
    </row>
    <row r="35">
      <c r="A35" s="13" t="inlineStr">
        <is>
          <t>R31</t>
        </is>
      </c>
      <c r="B35" s="13" t="n"/>
      <c r="C35" s="13" t="n"/>
      <c r="D35" s="13" t="n"/>
      <c r="E35" s="13" t="n"/>
      <c r="F35" s="13" t="n"/>
      <c r="G35" s="13" t="n"/>
      <c r="H35" s="14" t="n"/>
      <c r="I35" s="13" t="n"/>
      <c r="J35" s="13" t="n"/>
      <c r="K35" s="13" t="n"/>
      <c r="L35" s="13" t="n"/>
      <c r="M35" s="13" t="n"/>
      <c r="N35" s="15">
        <f>IF(B35="","",5-COUNTBLANK(E35:G35)-COUNTBLANK(J35:K35))</f>
        <v/>
      </c>
      <c r="O35" s="15">
        <f>IF(B35="","",IF(N35&lt;5,"Blank found",IF(AND(ISNUMBER(M35),ISNUMBER(L35),M35&gt;L35),"Exceptions rising",IF(OR(H35="",AND(ISNUMBER(H35),H35&lt;TODAY())),"Validation overdue","Governed"))))</f>
        <v/>
      </c>
      <c r="P35" s="15">
        <f>IF(S35="","",RANK(S35,$S$5:$S$54,0))</f>
        <v/>
      </c>
      <c r="Q35" s="16">
        <f>IF(B35="","",IF(E35="","Name who defined this rule.",IF(F35="","Name who decides where it applies.",IF(G35="","Name a validator and a validation date.",IF(J35="","Name who watches for changes.",IF(K35="","Name the owner of consequences.",IF(AND(ISNUMBER(M35),ISNUMBER(L35),M35&gt;L35),"Move it to the front of the validation queue.",IF(OR(H35="",AND(ISNUMBER(H35),H35&lt;TODAY())),"Validate it now and set the next date.","Governed. Validate on the next date.")))))))</f>
        <v/>
      </c>
      <c r="R35" s="13" t="n"/>
      <c r="S35" s="16">
        <f>IF(OR(B35="",O35="Governed"),"",(5-N35)*1000+IF(AND(ISNUMBER(M35),ISNUMBER(L35),M35&gt;L35),1500,0)+IF(OR(H35="",AND(ISNUMBER(H35),H35&lt;TODAY())),500,0)+IF(ISNUMBER(D35),MIN(D35,9999)/10000,0)-ROW()/1000000)</f>
        <v/>
      </c>
    </row>
    <row r="36">
      <c r="A36" s="13" t="inlineStr">
        <is>
          <t>R32</t>
        </is>
      </c>
      <c r="B36" s="13" t="n"/>
      <c r="C36" s="13" t="n"/>
      <c r="D36" s="13" t="n"/>
      <c r="E36" s="13" t="n"/>
      <c r="F36" s="13" t="n"/>
      <c r="G36" s="13" t="n"/>
      <c r="H36" s="14" t="n"/>
      <c r="I36" s="13" t="n"/>
      <c r="J36" s="13" t="n"/>
      <c r="K36" s="13" t="n"/>
      <c r="L36" s="13" t="n"/>
      <c r="M36" s="13" t="n"/>
      <c r="N36" s="15">
        <f>IF(B36="","",5-COUNTBLANK(E36:G36)-COUNTBLANK(J36:K36))</f>
        <v/>
      </c>
      <c r="O36" s="15">
        <f>IF(B36="","",IF(N36&lt;5,"Blank found",IF(AND(ISNUMBER(M36),ISNUMBER(L36),M36&gt;L36),"Exceptions rising",IF(OR(H36="",AND(ISNUMBER(H36),H36&lt;TODAY())),"Validation overdue","Governed"))))</f>
        <v/>
      </c>
      <c r="P36" s="15">
        <f>IF(S36="","",RANK(S36,$S$5:$S$54,0))</f>
        <v/>
      </c>
      <c r="Q36" s="16">
        <f>IF(B36="","",IF(E36="","Name who defined this rule.",IF(F36="","Name who decides where it applies.",IF(G36="","Name a validator and a validation date.",IF(J36="","Name who watches for changes.",IF(K36="","Name the owner of consequences.",IF(AND(ISNUMBER(M36),ISNUMBER(L36),M36&gt;L36),"Move it to the front of the validation queue.",IF(OR(H36="",AND(ISNUMBER(H36),H36&lt;TODAY())),"Validate it now and set the next date.","Governed. Validate on the next date.")))))))</f>
        <v/>
      </c>
      <c r="R36" s="13" t="n"/>
      <c r="S36" s="16">
        <f>IF(OR(B36="",O36="Governed"),"",(5-N36)*1000+IF(AND(ISNUMBER(M36),ISNUMBER(L36),M36&gt;L36),1500,0)+IF(OR(H36="",AND(ISNUMBER(H36),H36&lt;TODAY())),500,0)+IF(ISNUMBER(D36),MIN(D36,9999)/10000,0)-ROW()/1000000)</f>
        <v/>
      </c>
    </row>
    <row r="37">
      <c r="A37" s="13" t="inlineStr">
        <is>
          <t>R33</t>
        </is>
      </c>
      <c r="B37" s="13" t="n"/>
      <c r="C37" s="13" t="n"/>
      <c r="D37" s="13" t="n"/>
      <c r="E37" s="13" t="n"/>
      <c r="F37" s="13" t="n"/>
      <c r="G37" s="13" t="n"/>
      <c r="H37" s="14" t="n"/>
      <c r="I37" s="13" t="n"/>
      <c r="J37" s="13" t="n"/>
      <c r="K37" s="13" t="n"/>
      <c r="L37" s="13" t="n"/>
      <c r="M37" s="13" t="n"/>
      <c r="N37" s="15">
        <f>IF(B37="","",5-COUNTBLANK(E37:G37)-COUNTBLANK(J37:K37))</f>
        <v/>
      </c>
      <c r="O37" s="15">
        <f>IF(B37="","",IF(N37&lt;5,"Blank found",IF(AND(ISNUMBER(M37),ISNUMBER(L37),M37&gt;L37),"Exceptions rising",IF(OR(H37="",AND(ISNUMBER(H37),H37&lt;TODAY())),"Validation overdue","Governed"))))</f>
        <v/>
      </c>
      <c r="P37" s="15">
        <f>IF(S37="","",RANK(S37,$S$5:$S$54,0))</f>
        <v/>
      </c>
      <c r="Q37" s="16">
        <f>IF(B37="","",IF(E37="","Name who defined this rule.",IF(F37="","Name who decides where it applies.",IF(G37="","Name a validator and a validation date.",IF(J37="","Name who watches for changes.",IF(K37="","Name the owner of consequences.",IF(AND(ISNUMBER(M37),ISNUMBER(L37),M37&gt;L37),"Move it to the front of the validation queue.",IF(OR(H37="",AND(ISNUMBER(H37),H37&lt;TODAY())),"Validate it now and set the next date.","Governed. Validate on the next date.")))))))</f>
        <v/>
      </c>
      <c r="R37" s="13" t="n"/>
      <c r="S37" s="16">
        <f>IF(OR(B37="",O37="Governed"),"",(5-N37)*1000+IF(AND(ISNUMBER(M37),ISNUMBER(L37),M37&gt;L37),1500,0)+IF(OR(H37="",AND(ISNUMBER(H37),H37&lt;TODAY())),500,0)+IF(ISNUMBER(D37),MIN(D37,9999)/10000,0)-ROW()/1000000)</f>
        <v/>
      </c>
    </row>
    <row r="38">
      <c r="A38" s="13" t="inlineStr">
        <is>
          <t>R34</t>
        </is>
      </c>
      <c r="B38" s="13" t="n"/>
      <c r="C38" s="13" t="n"/>
      <c r="D38" s="13" t="n"/>
      <c r="E38" s="13" t="n"/>
      <c r="F38" s="13" t="n"/>
      <c r="G38" s="13" t="n"/>
      <c r="H38" s="14" t="n"/>
      <c r="I38" s="13" t="n"/>
      <c r="J38" s="13" t="n"/>
      <c r="K38" s="13" t="n"/>
      <c r="L38" s="13" t="n"/>
      <c r="M38" s="13" t="n"/>
      <c r="N38" s="15">
        <f>IF(B38="","",5-COUNTBLANK(E38:G38)-COUNTBLANK(J38:K38))</f>
        <v/>
      </c>
      <c r="O38" s="15">
        <f>IF(B38="","",IF(N38&lt;5,"Blank found",IF(AND(ISNUMBER(M38),ISNUMBER(L38),M38&gt;L38),"Exceptions rising",IF(OR(H38="",AND(ISNUMBER(H38),H38&lt;TODAY())),"Validation overdue","Governed"))))</f>
        <v/>
      </c>
      <c r="P38" s="15">
        <f>IF(S38="","",RANK(S38,$S$5:$S$54,0))</f>
        <v/>
      </c>
      <c r="Q38" s="16">
        <f>IF(B38="","",IF(E38="","Name who defined this rule.",IF(F38="","Name who decides where it applies.",IF(G38="","Name a validator and a validation date.",IF(J38="","Name who watches for changes.",IF(K38="","Name the owner of consequences.",IF(AND(ISNUMBER(M38),ISNUMBER(L38),M38&gt;L38),"Move it to the front of the validation queue.",IF(OR(H38="",AND(ISNUMBER(H38),H38&lt;TODAY())),"Validate it now and set the next date.","Governed. Validate on the next date.")))))))</f>
        <v/>
      </c>
      <c r="R38" s="13" t="n"/>
      <c r="S38" s="16">
        <f>IF(OR(B38="",O38="Governed"),"",(5-N38)*1000+IF(AND(ISNUMBER(M38),ISNUMBER(L38),M38&gt;L38),1500,0)+IF(OR(H38="",AND(ISNUMBER(H38),H38&lt;TODAY())),500,0)+IF(ISNUMBER(D38),MIN(D38,9999)/10000,0)-ROW()/1000000)</f>
        <v/>
      </c>
    </row>
    <row r="39">
      <c r="A39" s="13" t="inlineStr">
        <is>
          <t>R35</t>
        </is>
      </c>
      <c r="B39" s="13" t="n"/>
      <c r="C39" s="13" t="n"/>
      <c r="D39" s="13" t="n"/>
      <c r="E39" s="13" t="n"/>
      <c r="F39" s="13" t="n"/>
      <c r="G39" s="13" t="n"/>
      <c r="H39" s="14" t="n"/>
      <c r="I39" s="13" t="n"/>
      <c r="J39" s="13" t="n"/>
      <c r="K39" s="13" t="n"/>
      <c r="L39" s="13" t="n"/>
      <c r="M39" s="13" t="n"/>
      <c r="N39" s="15">
        <f>IF(B39="","",5-COUNTBLANK(E39:G39)-COUNTBLANK(J39:K39))</f>
        <v/>
      </c>
      <c r="O39" s="15">
        <f>IF(B39="","",IF(N39&lt;5,"Blank found",IF(AND(ISNUMBER(M39),ISNUMBER(L39),M39&gt;L39),"Exceptions rising",IF(OR(H39="",AND(ISNUMBER(H39),H39&lt;TODAY())),"Validation overdue","Governed"))))</f>
        <v/>
      </c>
      <c r="P39" s="15">
        <f>IF(S39="","",RANK(S39,$S$5:$S$54,0))</f>
        <v/>
      </c>
      <c r="Q39" s="16">
        <f>IF(B39="","",IF(E39="","Name who defined this rule.",IF(F39="","Name who decides where it applies.",IF(G39="","Name a validator and a validation date.",IF(J39="","Name who watches for changes.",IF(K39="","Name the owner of consequences.",IF(AND(ISNUMBER(M39),ISNUMBER(L39),M39&gt;L39),"Move it to the front of the validation queue.",IF(OR(H39="",AND(ISNUMBER(H39),H39&lt;TODAY())),"Validate it now and set the next date.","Governed. Validate on the next date.")))))))</f>
        <v/>
      </c>
      <c r="R39" s="13" t="n"/>
      <c r="S39" s="16">
        <f>IF(OR(B39="",O39="Governed"),"",(5-N39)*1000+IF(AND(ISNUMBER(M39),ISNUMBER(L39),M39&gt;L39),1500,0)+IF(OR(H39="",AND(ISNUMBER(H39),H39&lt;TODAY())),500,0)+IF(ISNUMBER(D39),MIN(D39,9999)/10000,0)-ROW()/1000000)</f>
        <v/>
      </c>
    </row>
    <row r="40">
      <c r="A40" s="13" t="inlineStr">
        <is>
          <t>R36</t>
        </is>
      </c>
      <c r="B40" s="13" t="n"/>
      <c r="C40" s="13" t="n"/>
      <c r="D40" s="13" t="n"/>
      <c r="E40" s="13" t="n"/>
      <c r="F40" s="13" t="n"/>
      <c r="G40" s="13" t="n"/>
      <c r="H40" s="14" t="n"/>
      <c r="I40" s="13" t="n"/>
      <c r="J40" s="13" t="n"/>
      <c r="K40" s="13" t="n"/>
      <c r="L40" s="13" t="n"/>
      <c r="M40" s="13" t="n"/>
      <c r="N40" s="15">
        <f>IF(B40="","",5-COUNTBLANK(E40:G40)-COUNTBLANK(J40:K40))</f>
        <v/>
      </c>
      <c r="O40" s="15">
        <f>IF(B40="","",IF(N40&lt;5,"Blank found",IF(AND(ISNUMBER(M40),ISNUMBER(L40),M40&gt;L40),"Exceptions rising",IF(OR(H40="",AND(ISNUMBER(H40),H40&lt;TODAY())),"Validation overdue","Governed"))))</f>
        <v/>
      </c>
      <c r="P40" s="15">
        <f>IF(S40="","",RANK(S40,$S$5:$S$54,0))</f>
        <v/>
      </c>
      <c r="Q40" s="16">
        <f>IF(B40="","",IF(E40="","Name who defined this rule.",IF(F40="","Name who decides where it applies.",IF(G40="","Name a validator and a validation date.",IF(J40="","Name who watches for changes.",IF(K40="","Name the owner of consequences.",IF(AND(ISNUMBER(M40),ISNUMBER(L40),M40&gt;L40),"Move it to the front of the validation queue.",IF(OR(H40="",AND(ISNUMBER(H40),H40&lt;TODAY())),"Validate it now and set the next date.","Governed. Validate on the next date.")))))))</f>
        <v/>
      </c>
      <c r="R40" s="13" t="n"/>
      <c r="S40" s="16">
        <f>IF(OR(B40="",O40="Governed"),"",(5-N40)*1000+IF(AND(ISNUMBER(M40),ISNUMBER(L40),M40&gt;L40),1500,0)+IF(OR(H40="",AND(ISNUMBER(H40),H40&lt;TODAY())),500,0)+IF(ISNUMBER(D40),MIN(D40,9999)/10000,0)-ROW()/1000000)</f>
        <v/>
      </c>
    </row>
    <row r="41">
      <c r="A41" s="13" t="inlineStr">
        <is>
          <t>R37</t>
        </is>
      </c>
      <c r="B41" s="13" t="n"/>
      <c r="C41" s="13" t="n"/>
      <c r="D41" s="13" t="n"/>
      <c r="E41" s="13" t="n"/>
      <c r="F41" s="13" t="n"/>
      <c r="G41" s="13" t="n"/>
      <c r="H41" s="14" t="n"/>
      <c r="I41" s="13" t="n"/>
      <c r="J41" s="13" t="n"/>
      <c r="K41" s="13" t="n"/>
      <c r="L41" s="13" t="n"/>
      <c r="M41" s="13" t="n"/>
      <c r="N41" s="15">
        <f>IF(B41="","",5-COUNTBLANK(E41:G41)-COUNTBLANK(J41:K41))</f>
        <v/>
      </c>
      <c r="O41" s="15">
        <f>IF(B41="","",IF(N41&lt;5,"Blank found",IF(AND(ISNUMBER(M41),ISNUMBER(L41),M41&gt;L41),"Exceptions rising",IF(OR(H41="",AND(ISNUMBER(H41),H41&lt;TODAY())),"Validation overdue","Governed"))))</f>
        <v/>
      </c>
      <c r="P41" s="15">
        <f>IF(S41="","",RANK(S41,$S$5:$S$54,0))</f>
        <v/>
      </c>
      <c r="Q41" s="16">
        <f>IF(B41="","",IF(E41="","Name who defined this rule.",IF(F41="","Name who decides where it applies.",IF(G41="","Name a validator and a validation date.",IF(J41="","Name who watches for changes.",IF(K41="","Name the owner of consequences.",IF(AND(ISNUMBER(M41),ISNUMBER(L41),M41&gt;L41),"Move it to the front of the validation queue.",IF(OR(H41="",AND(ISNUMBER(H41),H41&lt;TODAY())),"Validate it now and set the next date.","Governed. Validate on the next date.")))))))</f>
        <v/>
      </c>
      <c r="R41" s="13" t="n"/>
      <c r="S41" s="16">
        <f>IF(OR(B41="",O41="Governed"),"",(5-N41)*1000+IF(AND(ISNUMBER(M41),ISNUMBER(L41),M41&gt;L41),1500,0)+IF(OR(H41="",AND(ISNUMBER(H41),H41&lt;TODAY())),500,0)+IF(ISNUMBER(D41),MIN(D41,9999)/10000,0)-ROW()/1000000)</f>
        <v/>
      </c>
    </row>
    <row r="42">
      <c r="A42" s="13" t="inlineStr">
        <is>
          <t>R38</t>
        </is>
      </c>
      <c r="B42" s="13" t="n"/>
      <c r="C42" s="13" t="n"/>
      <c r="D42" s="13" t="n"/>
      <c r="E42" s="13" t="n"/>
      <c r="F42" s="13" t="n"/>
      <c r="G42" s="13" t="n"/>
      <c r="H42" s="14" t="n"/>
      <c r="I42" s="13" t="n"/>
      <c r="J42" s="13" t="n"/>
      <c r="K42" s="13" t="n"/>
      <c r="L42" s="13" t="n"/>
      <c r="M42" s="13" t="n"/>
      <c r="N42" s="15">
        <f>IF(B42="","",5-COUNTBLANK(E42:G42)-COUNTBLANK(J42:K42))</f>
        <v/>
      </c>
      <c r="O42" s="15">
        <f>IF(B42="","",IF(N42&lt;5,"Blank found",IF(AND(ISNUMBER(M42),ISNUMBER(L42),M42&gt;L42),"Exceptions rising",IF(OR(H42="",AND(ISNUMBER(H42),H42&lt;TODAY())),"Validation overdue","Governed"))))</f>
        <v/>
      </c>
      <c r="P42" s="15">
        <f>IF(S42="","",RANK(S42,$S$5:$S$54,0))</f>
        <v/>
      </c>
      <c r="Q42" s="16">
        <f>IF(B42="","",IF(E42="","Name who defined this rule.",IF(F42="","Name who decides where it applies.",IF(G42="","Name a validator and a validation date.",IF(J42="","Name who watches for changes.",IF(K42="","Name the owner of consequences.",IF(AND(ISNUMBER(M42),ISNUMBER(L42),M42&gt;L42),"Move it to the front of the validation queue.",IF(OR(H42="",AND(ISNUMBER(H42),H42&lt;TODAY())),"Validate it now and set the next date.","Governed. Validate on the next date.")))))))</f>
        <v/>
      </c>
      <c r="R42" s="13" t="n"/>
      <c r="S42" s="16">
        <f>IF(OR(B42="",O42="Governed"),"",(5-N42)*1000+IF(AND(ISNUMBER(M42),ISNUMBER(L42),M42&gt;L42),1500,0)+IF(OR(H42="",AND(ISNUMBER(H42),H42&lt;TODAY())),500,0)+IF(ISNUMBER(D42),MIN(D42,9999)/10000,0)-ROW()/1000000)</f>
        <v/>
      </c>
    </row>
    <row r="43">
      <c r="A43" s="13" t="inlineStr">
        <is>
          <t>R39</t>
        </is>
      </c>
      <c r="B43" s="13" t="n"/>
      <c r="C43" s="13" t="n"/>
      <c r="D43" s="13" t="n"/>
      <c r="E43" s="13" t="n"/>
      <c r="F43" s="13" t="n"/>
      <c r="G43" s="13" t="n"/>
      <c r="H43" s="14" t="n"/>
      <c r="I43" s="13" t="n"/>
      <c r="J43" s="13" t="n"/>
      <c r="K43" s="13" t="n"/>
      <c r="L43" s="13" t="n"/>
      <c r="M43" s="13" t="n"/>
      <c r="N43" s="15">
        <f>IF(B43="","",5-COUNTBLANK(E43:G43)-COUNTBLANK(J43:K43))</f>
        <v/>
      </c>
      <c r="O43" s="15">
        <f>IF(B43="","",IF(N43&lt;5,"Blank found",IF(AND(ISNUMBER(M43),ISNUMBER(L43),M43&gt;L43),"Exceptions rising",IF(OR(H43="",AND(ISNUMBER(H43),H43&lt;TODAY())),"Validation overdue","Governed"))))</f>
        <v/>
      </c>
      <c r="P43" s="15">
        <f>IF(S43="","",RANK(S43,$S$5:$S$54,0))</f>
        <v/>
      </c>
      <c r="Q43" s="16">
        <f>IF(B43="","",IF(E43="","Name who defined this rule.",IF(F43="","Name who decides where it applies.",IF(G43="","Name a validator and a validation date.",IF(J43="","Name who watches for changes.",IF(K43="","Name the owner of consequences.",IF(AND(ISNUMBER(M43),ISNUMBER(L43),M43&gt;L43),"Move it to the front of the validation queue.",IF(OR(H43="",AND(ISNUMBER(H43),H43&lt;TODAY())),"Validate it now and set the next date.","Governed. Validate on the next date.")))))))</f>
        <v/>
      </c>
      <c r="R43" s="13" t="n"/>
      <c r="S43" s="16">
        <f>IF(OR(B43="",O43="Governed"),"",(5-N43)*1000+IF(AND(ISNUMBER(M43),ISNUMBER(L43),M43&gt;L43),1500,0)+IF(OR(H43="",AND(ISNUMBER(H43),H43&lt;TODAY())),500,0)+IF(ISNUMBER(D43),MIN(D43,9999)/10000,0)-ROW()/1000000)</f>
        <v/>
      </c>
    </row>
    <row r="44">
      <c r="A44" s="13" t="inlineStr">
        <is>
          <t>R40</t>
        </is>
      </c>
      <c r="B44" s="13" t="n"/>
      <c r="C44" s="13" t="n"/>
      <c r="D44" s="13" t="n"/>
      <c r="E44" s="13" t="n"/>
      <c r="F44" s="13" t="n"/>
      <c r="G44" s="13" t="n"/>
      <c r="H44" s="14" t="n"/>
      <c r="I44" s="13" t="n"/>
      <c r="J44" s="13" t="n"/>
      <c r="K44" s="13" t="n"/>
      <c r="L44" s="13" t="n"/>
      <c r="M44" s="13" t="n"/>
      <c r="N44" s="15">
        <f>IF(B44="","",5-COUNTBLANK(E44:G44)-COUNTBLANK(J44:K44))</f>
        <v/>
      </c>
      <c r="O44" s="15">
        <f>IF(B44="","",IF(N44&lt;5,"Blank found",IF(AND(ISNUMBER(M44),ISNUMBER(L44),M44&gt;L44),"Exceptions rising",IF(OR(H44="",AND(ISNUMBER(H44),H44&lt;TODAY())),"Validation overdue","Governed"))))</f>
        <v/>
      </c>
      <c r="P44" s="15">
        <f>IF(S44="","",RANK(S44,$S$5:$S$54,0))</f>
        <v/>
      </c>
      <c r="Q44" s="16">
        <f>IF(B44="","",IF(E44="","Name who defined this rule.",IF(F44="","Name who decides where it applies.",IF(G44="","Name a validator and a validation date.",IF(J44="","Name who watches for changes.",IF(K44="","Name the owner of consequences.",IF(AND(ISNUMBER(M44),ISNUMBER(L44),M44&gt;L44),"Move it to the front of the validation queue.",IF(OR(H44="",AND(ISNUMBER(H44),H44&lt;TODAY())),"Validate it now and set the next date.","Governed. Validate on the next date.")))))))</f>
        <v/>
      </c>
      <c r="R44" s="13" t="n"/>
      <c r="S44" s="16">
        <f>IF(OR(B44="",O44="Governed"),"",(5-N44)*1000+IF(AND(ISNUMBER(M44),ISNUMBER(L44),M44&gt;L44),1500,0)+IF(OR(H44="",AND(ISNUMBER(H44),H44&lt;TODAY())),500,0)+IF(ISNUMBER(D44),MIN(D44,9999)/10000,0)-ROW()/1000000)</f>
        <v/>
      </c>
    </row>
    <row r="45">
      <c r="A45" s="13" t="inlineStr">
        <is>
          <t>R41</t>
        </is>
      </c>
      <c r="B45" s="13" t="n"/>
      <c r="C45" s="13" t="n"/>
      <c r="D45" s="13" t="n"/>
      <c r="E45" s="13" t="n"/>
      <c r="F45" s="13" t="n"/>
      <c r="G45" s="13" t="n"/>
      <c r="H45" s="14" t="n"/>
      <c r="I45" s="13" t="n"/>
      <c r="J45" s="13" t="n"/>
      <c r="K45" s="13" t="n"/>
      <c r="L45" s="13" t="n"/>
      <c r="M45" s="13" t="n"/>
      <c r="N45" s="15">
        <f>IF(B45="","",5-COUNTBLANK(E45:G45)-COUNTBLANK(J45:K45))</f>
        <v/>
      </c>
      <c r="O45" s="15">
        <f>IF(B45="","",IF(N45&lt;5,"Blank found",IF(AND(ISNUMBER(M45),ISNUMBER(L45),M45&gt;L45),"Exceptions rising",IF(OR(H45="",AND(ISNUMBER(H45),H45&lt;TODAY())),"Validation overdue","Governed"))))</f>
        <v/>
      </c>
      <c r="P45" s="15">
        <f>IF(S45="","",RANK(S45,$S$5:$S$54,0))</f>
        <v/>
      </c>
      <c r="Q45" s="16">
        <f>IF(B45="","",IF(E45="","Name who defined this rule.",IF(F45="","Name who decides where it applies.",IF(G45="","Name a validator and a validation date.",IF(J45="","Name who watches for changes.",IF(K45="","Name the owner of consequences.",IF(AND(ISNUMBER(M45),ISNUMBER(L45),M45&gt;L45),"Move it to the front of the validation queue.",IF(OR(H45="",AND(ISNUMBER(H45),H45&lt;TODAY())),"Validate it now and set the next date.","Governed. Validate on the next date.")))))))</f>
        <v/>
      </c>
      <c r="R45" s="13" t="n"/>
      <c r="S45" s="16">
        <f>IF(OR(B45="",O45="Governed"),"",(5-N45)*1000+IF(AND(ISNUMBER(M45),ISNUMBER(L45),M45&gt;L45),1500,0)+IF(OR(H45="",AND(ISNUMBER(H45),H45&lt;TODAY())),500,0)+IF(ISNUMBER(D45),MIN(D45,9999)/10000,0)-ROW()/1000000)</f>
        <v/>
      </c>
    </row>
    <row r="46">
      <c r="A46" s="13" t="inlineStr">
        <is>
          <t>R42</t>
        </is>
      </c>
      <c r="B46" s="13" t="n"/>
      <c r="C46" s="13" t="n"/>
      <c r="D46" s="13" t="n"/>
      <c r="E46" s="13" t="n"/>
      <c r="F46" s="13" t="n"/>
      <c r="G46" s="13" t="n"/>
      <c r="H46" s="14" t="n"/>
      <c r="I46" s="13" t="n"/>
      <c r="J46" s="13" t="n"/>
      <c r="K46" s="13" t="n"/>
      <c r="L46" s="13" t="n"/>
      <c r="M46" s="13" t="n"/>
      <c r="N46" s="15">
        <f>IF(B46="","",5-COUNTBLANK(E46:G46)-COUNTBLANK(J46:K46))</f>
        <v/>
      </c>
      <c r="O46" s="15">
        <f>IF(B46="","",IF(N46&lt;5,"Blank found",IF(AND(ISNUMBER(M46),ISNUMBER(L46),M46&gt;L46),"Exceptions rising",IF(OR(H46="",AND(ISNUMBER(H46),H46&lt;TODAY())),"Validation overdue","Governed"))))</f>
        <v/>
      </c>
      <c r="P46" s="15">
        <f>IF(S46="","",RANK(S46,$S$5:$S$54,0))</f>
        <v/>
      </c>
      <c r="Q46" s="16">
        <f>IF(B46="","",IF(E46="","Name who defined this rule.",IF(F46="","Name who decides where it applies.",IF(G46="","Name a validator and a validation date.",IF(J46="","Name who watches for changes.",IF(K46="","Name the owner of consequences.",IF(AND(ISNUMBER(M46),ISNUMBER(L46),M46&gt;L46),"Move it to the front of the validation queue.",IF(OR(H46="",AND(ISNUMBER(H46),H46&lt;TODAY())),"Validate it now and set the next date.","Governed. Validate on the next date.")))))))</f>
        <v/>
      </c>
      <c r="R46" s="13" t="n"/>
      <c r="S46" s="16">
        <f>IF(OR(B46="",O46="Governed"),"",(5-N46)*1000+IF(AND(ISNUMBER(M46),ISNUMBER(L46),M46&gt;L46),1500,0)+IF(OR(H46="",AND(ISNUMBER(H46),H46&lt;TODAY())),500,0)+IF(ISNUMBER(D46),MIN(D46,9999)/10000,0)-ROW()/1000000)</f>
        <v/>
      </c>
    </row>
    <row r="47">
      <c r="A47" s="13" t="inlineStr">
        <is>
          <t>R43</t>
        </is>
      </c>
      <c r="B47" s="13" t="n"/>
      <c r="C47" s="13" t="n"/>
      <c r="D47" s="13" t="n"/>
      <c r="E47" s="13" t="n"/>
      <c r="F47" s="13" t="n"/>
      <c r="G47" s="13" t="n"/>
      <c r="H47" s="14" t="n"/>
      <c r="I47" s="13" t="n"/>
      <c r="J47" s="13" t="n"/>
      <c r="K47" s="13" t="n"/>
      <c r="L47" s="13" t="n"/>
      <c r="M47" s="13" t="n"/>
      <c r="N47" s="15">
        <f>IF(B47="","",5-COUNTBLANK(E47:G47)-COUNTBLANK(J47:K47))</f>
        <v/>
      </c>
      <c r="O47" s="15">
        <f>IF(B47="","",IF(N47&lt;5,"Blank found",IF(AND(ISNUMBER(M47),ISNUMBER(L47),M47&gt;L47),"Exceptions rising",IF(OR(H47="",AND(ISNUMBER(H47),H47&lt;TODAY())),"Validation overdue","Governed"))))</f>
        <v/>
      </c>
      <c r="P47" s="15">
        <f>IF(S47="","",RANK(S47,$S$5:$S$54,0))</f>
        <v/>
      </c>
      <c r="Q47" s="16">
        <f>IF(B47="","",IF(E47="","Name who defined this rule.",IF(F47="","Name who decides where it applies.",IF(G47="","Name a validator and a validation date.",IF(J47="","Name who watches for changes.",IF(K47="","Name the owner of consequences.",IF(AND(ISNUMBER(M47),ISNUMBER(L47),M47&gt;L47),"Move it to the front of the validation queue.",IF(OR(H47="",AND(ISNUMBER(H47),H47&lt;TODAY())),"Validate it now and set the next date.","Governed. Validate on the next date.")))))))</f>
        <v/>
      </c>
      <c r="R47" s="13" t="n"/>
      <c r="S47" s="16">
        <f>IF(OR(B47="",O47="Governed"),"",(5-N47)*1000+IF(AND(ISNUMBER(M47),ISNUMBER(L47),M47&gt;L47),1500,0)+IF(OR(H47="",AND(ISNUMBER(H47),H47&lt;TODAY())),500,0)+IF(ISNUMBER(D47),MIN(D47,9999)/10000,0)-ROW()/1000000)</f>
        <v/>
      </c>
    </row>
    <row r="48">
      <c r="A48" s="13" t="inlineStr">
        <is>
          <t>R44</t>
        </is>
      </c>
      <c r="B48" s="13" t="n"/>
      <c r="C48" s="13" t="n"/>
      <c r="D48" s="13" t="n"/>
      <c r="E48" s="13" t="n"/>
      <c r="F48" s="13" t="n"/>
      <c r="G48" s="13" t="n"/>
      <c r="H48" s="14" t="n"/>
      <c r="I48" s="13" t="n"/>
      <c r="J48" s="13" t="n"/>
      <c r="K48" s="13" t="n"/>
      <c r="L48" s="13" t="n"/>
      <c r="M48" s="13" t="n"/>
      <c r="N48" s="15">
        <f>IF(B48="","",5-COUNTBLANK(E48:G48)-COUNTBLANK(J48:K48))</f>
        <v/>
      </c>
      <c r="O48" s="15">
        <f>IF(B48="","",IF(N48&lt;5,"Blank found",IF(AND(ISNUMBER(M48),ISNUMBER(L48),M48&gt;L48),"Exceptions rising",IF(OR(H48="",AND(ISNUMBER(H48),H48&lt;TODAY())),"Validation overdue","Governed"))))</f>
        <v/>
      </c>
      <c r="P48" s="15">
        <f>IF(S48="","",RANK(S48,$S$5:$S$54,0))</f>
        <v/>
      </c>
      <c r="Q48" s="16">
        <f>IF(B48="","",IF(E48="","Name who defined this rule.",IF(F48="","Name who decides where it applies.",IF(G48="","Name a validator and a validation date.",IF(J48="","Name who watches for changes.",IF(K48="","Name the owner of consequences.",IF(AND(ISNUMBER(M48),ISNUMBER(L48),M48&gt;L48),"Move it to the front of the validation queue.",IF(OR(H48="",AND(ISNUMBER(H48),H48&lt;TODAY())),"Validate it now and set the next date.","Governed. Validate on the next date.")))))))</f>
        <v/>
      </c>
      <c r="R48" s="13" t="n"/>
      <c r="S48" s="16">
        <f>IF(OR(B48="",O48="Governed"),"",(5-N48)*1000+IF(AND(ISNUMBER(M48),ISNUMBER(L48),M48&gt;L48),1500,0)+IF(OR(H48="",AND(ISNUMBER(H48),H48&lt;TODAY())),500,0)+IF(ISNUMBER(D48),MIN(D48,9999)/10000,0)-ROW()/1000000)</f>
        <v/>
      </c>
    </row>
    <row r="49">
      <c r="A49" s="13" t="inlineStr">
        <is>
          <t>R45</t>
        </is>
      </c>
      <c r="B49" s="13" t="n"/>
      <c r="C49" s="13" t="n"/>
      <c r="D49" s="13" t="n"/>
      <c r="E49" s="13" t="n"/>
      <c r="F49" s="13" t="n"/>
      <c r="G49" s="13" t="n"/>
      <c r="H49" s="14" t="n"/>
      <c r="I49" s="13" t="n"/>
      <c r="J49" s="13" t="n"/>
      <c r="K49" s="13" t="n"/>
      <c r="L49" s="13" t="n"/>
      <c r="M49" s="13" t="n"/>
      <c r="N49" s="15">
        <f>IF(B49="","",5-COUNTBLANK(E49:G49)-COUNTBLANK(J49:K49))</f>
        <v/>
      </c>
      <c r="O49" s="15">
        <f>IF(B49="","",IF(N49&lt;5,"Blank found",IF(AND(ISNUMBER(M49),ISNUMBER(L49),M49&gt;L49),"Exceptions rising",IF(OR(H49="",AND(ISNUMBER(H49),H49&lt;TODAY())),"Validation overdue","Governed"))))</f>
        <v/>
      </c>
      <c r="P49" s="15">
        <f>IF(S49="","",RANK(S49,$S$5:$S$54,0))</f>
        <v/>
      </c>
      <c r="Q49" s="16">
        <f>IF(B49="","",IF(E49="","Name who defined this rule.",IF(F49="","Name who decides where it applies.",IF(G49="","Name a validator and a validation date.",IF(J49="","Name who watches for changes.",IF(K49="","Name the owner of consequences.",IF(AND(ISNUMBER(M49),ISNUMBER(L49),M49&gt;L49),"Move it to the front of the validation queue.",IF(OR(H49="",AND(ISNUMBER(H49),H49&lt;TODAY())),"Validate it now and set the next date.","Governed. Validate on the next date.")))))))</f>
        <v/>
      </c>
      <c r="R49" s="13" t="n"/>
      <c r="S49" s="16">
        <f>IF(OR(B49="",O49="Governed"),"",(5-N49)*1000+IF(AND(ISNUMBER(M49),ISNUMBER(L49),M49&gt;L49),1500,0)+IF(OR(H49="",AND(ISNUMBER(H49),H49&lt;TODAY())),500,0)+IF(ISNUMBER(D49),MIN(D49,9999)/10000,0)-ROW()/1000000)</f>
        <v/>
      </c>
    </row>
    <row r="50">
      <c r="A50" s="13" t="inlineStr">
        <is>
          <t>R46</t>
        </is>
      </c>
      <c r="B50" s="13" t="n"/>
      <c r="C50" s="13" t="n"/>
      <c r="D50" s="13" t="n"/>
      <c r="E50" s="13" t="n"/>
      <c r="F50" s="13" t="n"/>
      <c r="G50" s="13" t="n"/>
      <c r="H50" s="14" t="n"/>
      <c r="I50" s="13" t="n"/>
      <c r="J50" s="13" t="n"/>
      <c r="K50" s="13" t="n"/>
      <c r="L50" s="13" t="n"/>
      <c r="M50" s="13" t="n"/>
      <c r="N50" s="15">
        <f>IF(B50="","",5-COUNTBLANK(E50:G50)-COUNTBLANK(J50:K50))</f>
        <v/>
      </c>
      <c r="O50" s="15">
        <f>IF(B50="","",IF(N50&lt;5,"Blank found",IF(AND(ISNUMBER(M50),ISNUMBER(L50),M50&gt;L50),"Exceptions rising",IF(OR(H50="",AND(ISNUMBER(H50),H50&lt;TODAY())),"Validation overdue","Governed"))))</f>
        <v/>
      </c>
      <c r="P50" s="15">
        <f>IF(S50="","",RANK(S50,$S$5:$S$54,0))</f>
        <v/>
      </c>
      <c r="Q50" s="16">
        <f>IF(B50="","",IF(E50="","Name who defined this rule.",IF(F50="","Name who decides where it applies.",IF(G50="","Name a validator and a validation date.",IF(J50="","Name who watches for changes.",IF(K50="","Name the owner of consequences.",IF(AND(ISNUMBER(M50),ISNUMBER(L50),M50&gt;L50),"Move it to the front of the validation queue.",IF(OR(H50="",AND(ISNUMBER(H50),H50&lt;TODAY())),"Validate it now and set the next date.","Governed. Validate on the next date.")))))))</f>
        <v/>
      </c>
      <c r="R50" s="13" t="n"/>
      <c r="S50" s="16">
        <f>IF(OR(B50="",O50="Governed"),"",(5-N50)*1000+IF(AND(ISNUMBER(M50),ISNUMBER(L50),M50&gt;L50),1500,0)+IF(OR(H50="",AND(ISNUMBER(H50),H50&lt;TODAY())),500,0)+IF(ISNUMBER(D50),MIN(D50,9999)/10000,0)-ROW()/1000000)</f>
        <v/>
      </c>
    </row>
    <row r="51">
      <c r="A51" s="13" t="inlineStr">
        <is>
          <t>R47</t>
        </is>
      </c>
      <c r="B51" s="13" t="n"/>
      <c r="C51" s="13" t="n"/>
      <c r="D51" s="13" t="n"/>
      <c r="E51" s="13" t="n"/>
      <c r="F51" s="13" t="n"/>
      <c r="G51" s="13" t="n"/>
      <c r="H51" s="14" t="n"/>
      <c r="I51" s="13" t="n"/>
      <c r="J51" s="13" t="n"/>
      <c r="K51" s="13" t="n"/>
      <c r="L51" s="13" t="n"/>
      <c r="M51" s="13" t="n"/>
      <c r="N51" s="15">
        <f>IF(B51="","",5-COUNTBLANK(E51:G51)-COUNTBLANK(J51:K51))</f>
        <v/>
      </c>
      <c r="O51" s="15">
        <f>IF(B51="","",IF(N51&lt;5,"Blank found",IF(AND(ISNUMBER(M51),ISNUMBER(L51),M51&gt;L51),"Exceptions rising",IF(OR(H51="",AND(ISNUMBER(H51),H51&lt;TODAY())),"Validation overdue","Governed"))))</f>
        <v/>
      </c>
      <c r="P51" s="15">
        <f>IF(S51="","",RANK(S51,$S$5:$S$54,0))</f>
        <v/>
      </c>
      <c r="Q51" s="16">
        <f>IF(B51="","",IF(E51="","Name who defined this rule.",IF(F51="","Name who decides where it applies.",IF(G51="","Name a validator and a validation date.",IF(J51="","Name who watches for changes.",IF(K51="","Name the owner of consequences.",IF(AND(ISNUMBER(M51),ISNUMBER(L51),M51&gt;L51),"Move it to the front of the validation queue.",IF(OR(H51="",AND(ISNUMBER(H51),H51&lt;TODAY())),"Validate it now and set the next date.","Governed. Validate on the next date.")))))))</f>
        <v/>
      </c>
      <c r="R51" s="13" t="n"/>
      <c r="S51" s="16">
        <f>IF(OR(B51="",O51="Governed"),"",(5-N51)*1000+IF(AND(ISNUMBER(M51),ISNUMBER(L51),M51&gt;L51),1500,0)+IF(OR(H51="",AND(ISNUMBER(H51),H51&lt;TODAY())),500,0)+IF(ISNUMBER(D51),MIN(D51,9999)/10000,0)-ROW()/1000000)</f>
        <v/>
      </c>
    </row>
    <row r="52">
      <c r="A52" s="13" t="inlineStr">
        <is>
          <t>R48</t>
        </is>
      </c>
      <c r="B52" s="13" t="n"/>
      <c r="C52" s="13" t="n"/>
      <c r="D52" s="13" t="n"/>
      <c r="E52" s="13" t="n"/>
      <c r="F52" s="13" t="n"/>
      <c r="G52" s="13" t="n"/>
      <c r="H52" s="14" t="n"/>
      <c r="I52" s="13" t="n"/>
      <c r="J52" s="13" t="n"/>
      <c r="K52" s="13" t="n"/>
      <c r="L52" s="13" t="n"/>
      <c r="M52" s="13" t="n"/>
      <c r="N52" s="15">
        <f>IF(B52="","",5-COUNTBLANK(E52:G52)-COUNTBLANK(J52:K52))</f>
        <v/>
      </c>
      <c r="O52" s="15">
        <f>IF(B52="","",IF(N52&lt;5,"Blank found",IF(AND(ISNUMBER(M52),ISNUMBER(L52),M52&gt;L52),"Exceptions rising",IF(OR(H52="",AND(ISNUMBER(H52),H52&lt;TODAY())),"Validation overdue","Governed"))))</f>
        <v/>
      </c>
      <c r="P52" s="15">
        <f>IF(S52="","",RANK(S52,$S$5:$S$54,0))</f>
        <v/>
      </c>
      <c r="Q52" s="16">
        <f>IF(B52="","",IF(E52="","Name who defined this rule.",IF(F52="","Name who decides where it applies.",IF(G52="","Name a validator and a validation date.",IF(J52="","Name who watches for changes.",IF(K52="","Name the owner of consequences.",IF(AND(ISNUMBER(M52),ISNUMBER(L52),M52&gt;L52),"Move it to the front of the validation queue.",IF(OR(H52="",AND(ISNUMBER(H52),H52&lt;TODAY())),"Validate it now and set the next date.","Governed. Validate on the next date.")))))))</f>
        <v/>
      </c>
      <c r="R52" s="13" t="n"/>
      <c r="S52" s="16">
        <f>IF(OR(B52="",O52="Governed"),"",(5-N52)*1000+IF(AND(ISNUMBER(M52),ISNUMBER(L52),M52&gt;L52),1500,0)+IF(OR(H52="",AND(ISNUMBER(H52),H52&lt;TODAY())),500,0)+IF(ISNUMBER(D52),MIN(D52,9999)/10000,0)-ROW()/1000000)</f>
        <v/>
      </c>
    </row>
    <row r="53">
      <c r="A53" s="13" t="inlineStr">
        <is>
          <t>R49</t>
        </is>
      </c>
      <c r="B53" s="13" t="n"/>
      <c r="C53" s="13" t="n"/>
      <c r="D53" s="13" t="n"/>
      <c r="E53" s="13" t="n"/>
      <c r="F53" s="13" t="n"/>
      <c r="G53" s="13" t="n"/>
      <c r="H53" s="14" t="n"/>
      <c r="I53" s="13" t="n"/>
      <c r="J53" s="13" t="n"/>
      <c r="K53" s="13" t="n"/>
      <c r="L53" s="13" t="n"/>
      <c r="M53" s="13" t="n"/>
      <c r="N53" s="15">
        <f>IF(B53="","",5-COUNTBLANK(E53:G53)-COUNTBLANK(J53:K53))</f>
        <v/>
      </c>
      <c r="O53" s="15">
        <f>IF(B53="","",IF(N53&lt;5,"Blank found",IF(AND(ISNUMBER(M53),ISNUMBER(L53),M53&gt;L53),"Exceptions rising",IF(OR(H53="",AND(ISNUMBER(H53),H53&lt;TODAY())),"Validation overdue","Governed"))))</f>
        <v/>
      </c>
      <c r="P53" s="15">
        <f>IF(S53="","",RANK(S53,$S$5:$S$54,0))</f>
        <v/>
      </c>
      <c r="Q53" s="16">
        <f>IF(B53="","",IF(E53="","Name who defined this rule.",IF(F53="","Name who decides where it applies.",IF(G53="","Name a validator and a validation date.",IF(J53="","Name who watches for changes.",IF(K53="","Name the owner of consequences.",IF(AND(ISNUMBER(M53),ISNUMBER(L53),M53&gt;L53),"Move it to the front of the validation queue.",IF(OR(H53="",AND(ISNUMBER(H53),H53&lt;TODAY())),"Validate it now and set the next date.","Governed. Validate on the next date.")))))))</f>
        <v/>
      </c>
      <c r="R53" s="13" t="n"/>
      <c r="S53" s="16">
        <f>IF(OR(B53="",O53="Governed"),"",(5-N53)*1000+IF(AND(ISNUMBER(M53),ISNUMBER(L53),M53&gt;L53),1500,0)+IF(OR(H53="",AND(ISNUMBER(H53),H53&lt;TODAY())),500,0)+IF(ISNUMBER(D53),MIN(D53,9999)/10000,0)-ROW()/1000000)</f>
        <v/>
      </c>
    </row>
    <row r="54">
      <c r="A54" s="13" t="inlineStr">
        <is>
          <t>R50</t>
        </is>
      </c>
      <c r="B54" s="13" t="n"/>
      <c r="C54" s="13" t="n"/>
      <c r="D54" s="13" t="n"/>
      <c r="E54" s="13" t="n"/>
      <c r="F54" s="13" t="n"/>
      <c r="G54" s="13" t="n"/>
      <c r="H54" s="14" t="n"/>
      <c r="I54" s="13" t="n"/>
      <c r="J54" s="13" t="n"/>
      <c r="K54" s="13" t="n"/>
      <c r="L54" s="13" t="n"/>
      <c r="M54" s="13" t="n"/>
      <c r="N54" s="15">
        <f>IF(B54="","",5-COUNTBLANK(E54:G54)-COUNTBLANK(J54:K54))</f>
        <v/>
      </c>
      <c r="O54" s="15">
        <f>IF(B54="","",IF(N54&lt;5,"Blank found",IF(AND(ISNUMBER(M54),ISNUMBER(L54),M54&gt;L54),"Exceptions rising",IF(OR(H54="",AND(ISNUMBER(H54),H54&lt;TODAY())),"Validation overdue","Governed"))))</f>
        <v/>
      </c>
      <c r="P54" s="15">
        <f>IF(S54="","",RANK(S54,$S$5:$S$54,0))</f>
        <v/>
      </c>
      <c r="Q54" s="16">
        <f>IF(B54="","",IF(E54="","Name who defined this rule.",IF(F54="","Name who decides where it applies.",IF(G54="","Name a validator and a validation date.",IF(J54="","Name who watches for changes.",IF(K54="","Name the owner of consequences.",IF(AND(ISNUMBER(M54),ISNUMBER(L54),M54&gt;L54),"Move it to the front of the validation queue.",IF(OR(H54="",AND(ISNUMBER(H54),H54&lt;TODAY())),"Validate it now and set the next date.","Governed. Validate on the next date.")))))))</f>
        <v/>
      </c>
      <c r="R54" s="13" t="n"/>
      <c r="S54" s="16">
        <f>IF(OR(B54="",O54="Governed"),"",(5-N54)*1000+IF(AND(ISNUMBER(M54),ISNUMBER(L54),M54&gt;L54),1500,0)+IF(OR(H54="",AND(ISNUMBER(H54),H54&lt;TODAY())),500,0)+IF(ISNUMBER(D54),MIN(D54,9999)/10000,0)-ROW()/1000000)</f>
        <v/>
      </c>
    </row>
  </sheetData>
  <mergeCells count="2">
    <mergeCell ref="A3:R3"/>
    <mergeCell ref="A2:R2"/>
  </mergeCells>
  <conditionalFormatting sqref="E5:G54">
    <cfRule type="expression" priority="1" dxfId="0">
      <formula>AND($B5&lt;&gt;"",E5="")</formula>
    </cfRule>
  </conditionalFormatting>
  <conditionalFormatting sqref="J5:K54">
    <cfRule type="expression" priority="2" dxfId="0">
      <formula>AND($B5&lt;&gt;"",J5="")</formula>
    </cfRule>
  </conditionalFormatting>
  <conditionalFormatting sqref="H5:H54">
    <cfRule type="expression" priority="3" dxfId="0">
      <formula>AND($B5&lt;&gt;"",OR(H5="",AND(ISNUMBER(H5),H5&lt;TODAY())))</formula>
    </cfRule>
  </conditionalFormatting>
  <conditionalFormatting sqref="O5:O54">
    <cfRule type="expression" priority="4" dxfId="1">
      <formula>O5="Governed"</formula>
    </cfRule>
    <cfRule type="expression" priority="5" dxfId="2">
      <formula>O5="Validation overdue"</formula>
    </cfRule>
    <cfRule type="expression" priority="6" dxfId="2">
      <formula>O5="Exceptions rising"</formula>
    </cfRule>
    <cfRule type="expression" priority="7" dxfId="0">
      <formula>O5="Blank found"</formula>
    </cfRule>
  </conditionalFormatting>
  <dataValidations count="2">
    <dataValidation sqref="D5:D54 L5:M54" showDropDown="0" showInputMessage="0" showErrorMessage="0" allowBlank="1" errorTitle="Number only" error="Enter a whole number." type="whole" operator="greaterThanOrEqual">
      <formula1>0</formula1>
    </dataValidation>
    <dataValidation sqref="H5:H54" showDropDown="0" showInputMessage="0" showErrorMessage="0" allowBlank="1" errorTitle="Date only" error="Enter a date." type="date" operator="greaterThan">
      <formula1>36526</formula1>
    </dataValidation>
  </dataValidations>
  <pageMargins left="0.75" right="0.75" top="1" bottom="1" header="0.5" footer="0.5"/>
  <pageSetup orientation="landscape" fitToHeight="0" fitToWidth="1"/>
  <headerFooter>
    <oddHeader/>
    <oddFooter>&amp;LOnTheGrow Leadership | Decision Rights Matrix&amp;RPage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22" customWidth="1" min="4" max="4"/>
    <col width="46" customWidth="1" min="5" max="5"/>
  </cols>
  <sheetData>
    <row r="1">
      <c r="B1" s="8" t="inlineStr">
        <is>
          <t>Summary: Who Owns the Rules That Move Money?</t>
        </is>
      </c>
    </row>
    <row r="2">
      <c r="B2" s="9" t="inlineStr">
        <is>
          <t>HOW TO USE THIS TAB: Nothing to type here. Everything calculates from the Register. Bring this page to your CFO.</t>
        </is>
      </c>
    </row>
    <row r="3">
      <c r="B3" s="10" t="inlineStr">
        <is>
          <t>© 2026 Elizabeth A. Corey. All rights reserved. GROWTH Execution Model™. onthegrow.ai</t>
        </is>
      </c>
    </row>
    <row r="5">
      <c r="B5" s="11" t="inlineStr">
        <is>
          <t>THE HEADLINE</t>
        </is>
      </c>
      <c r="C5" s="11" t="inlineStr">
        <is>
          <t>Value</t>
        </is>
      </c>
    </row>
    <row r="6">
      <c r="B6" s="17" t="inlineStr">
        <is>
          <t>Rules registered</t>
        </is>
      </c>
      <c r="C6" s="18">
        <f>COUNTIF(Register!$B$5:$B$54,"?*")</f>
        <v/>
      </c>
    </row>
    <row r="7">
      <c r="B7" s="17" t="inlineStr">
        <is>
          <t>Fully governed (five names, current validation, steady exceptions)</t>
        </is>
      </c>
      <c r="C7" s="18">
        <f>COUNTIF(Register!$O$5:$O$54,"Governed")</f>
        <v/>
      </c>
    </row>
    <row r="8">
      <c r="B8" s="17" t="inlineStr">
        <is>
          <t>Rules with at least one blank owner</t>
        </is>
      </c>
      <c r="C8" s="18">
        <f>COUNTIFS(Register!$B$5:$B$54,"?*",Register!$N$5:$N$54,"&lt;5")</f>
        <v/>
      </c>
    </row>
    <row r="9">
      <c r="B9" s="17" t="inlineStr">
        <is>
          <t>Validations overdue or never scheduled</t>
        </is>
      </c>
      <c r="C9" s="18">
        <f>SUMPRODUCT((Register!$B$5:$B$54&lt;&gt;"")*((Register!$H$5:$H$54="")+(Register!$H$5:$H$54&lt;TODAY())&gt;0))</f>
        <v/>
      </c>
    </row>
    <row r="10">
      <c r="B10" s="17" t="inlineStr">
        <is>
          <t>Rules with rising exceptions</t>
        </is>
      </c>
      <c r="C10" s="18">
        <f>SUMPRODUCT((Register!$B$5:$B$54&lt;&gt;"")*(Register!$M$5:$M$54&gt;Register!$L$5:$L$54))</f>
        <v/>
      </c>
    </row>
    <row r="11">
      <c r="B11" s="17" t="inlineStr">
        <is>
          <t>Employees affected by rules that are not governed (added across rules, so one person can count twice)</t>
        </is>
      </c>
      <c r="C11" s="19">
        <f>SUMIFS(Register!$D$5:$D$54,Register!$B$5:$B$54,"?*",Register!$O$5:$O$54,"&lt;&gt;Governed")</f>
        <v/>
      </c>
    </row>
    <row r="13">
      <c r="B13" s="11" t="inlineStr">
        <is>
          <t>WHICH OWNERSHIP QUESTION IS BLANK MOST</t>
        </is>
      </c>
      <c r="C13" s="11" t="inlineStr">
        <is>
          <t>Rules blank</t>
        </is>
      </c>
      <c r="D13" s="11" t="inlineStr">
        <is>
          <t>Share of rules</t>
        </is>
      </c>
    </row>
    <row r="14">
      <c r="B14" s="17" t="inlineStr">
        <is>
          <t>1. Defined by</t>
        </is>
      </c>
      <c r="C14" s="18">
        <f>COUNTIFS(Register!$B$5:$B$54,"?*",Register!$E$5:$E$54,"")</f>
        <v/>
      </c>
      <c r="D14" s="20">
        <f>IF($C$6=0,0,C14/$C$6)</f>
        <v/>
      </c>
    </row>
    <row r="15">
      <c r="B15" s="17" t="inlineStr">
        <is>
          <t>2. Applicability decided by</t>
        </is>
      </c>
      <c r="C15" s="18">
        <f>COUNTIFS(Register!$B$5:$B$54,"?*",Register!$F$5:$F$54,"")</f>
        <v/>
      </c>
      <c r="D15" s="20">
        <f>IF($C$6=0,0,C15/$C$6)</f>
        <v/>
      </c>
    </row>
    <row r="16">
      <c r="B16" s="17" t="inlineStr">
        <is>
          <t>3. Validated by</t>
        </is>
      </c>
      <c r="C16" s="18">
        <f>COUNTIFS(Register!$B$5:$B$54,"?*",Register!$G$5:$G$54,"")</f>
        <v/>
      </c>
      <c r="D16" s="20">
        <f>IF($C$6=0,0,C16/$C$6)</f>
        <v/>
      </c>
    </row>
    <row r="17">
      <c r="B17" s="17" t="inlineStr">
        <is>
          <t>4. Watched by</t>
        </is>
      </c>
      <c r="C17" s="18">
        <f>COUNTIFS(Register!$B$5:$B$54,"?*",Register!$J$5:$J$54,"")</f>
        <v/>
      </c>
      <c r="D17" s="20">
        <f>IF($C$6=0,0,C17/$C$6)</f>
        <v/>
      </c>
    </row>
    <row r="18">
      <c r="B18" s="17" t="inlineStr">
        <is>
          <t>5. Owner of consequences</t>
        </is>
      </c>
      <c r="C18" s="18">
        <f>COUNTIFS(Register!$B$5:$B$54,"?*",Register!$K$5:$K$54,"")</f>
        <v/>
      </c>
      <c r="D18" s="20">
        <f>IF($C$6=0,0,C18/$C$6)</f>
        <v/>
      </c>
    </row>
    <row r="20">
      <c r="B20" s="11" t="inlineStr">
        <is>
          <t>TOP 5 TO FIX FIRST</t>
        </is>
      </c>
      <c r="C20" s="11" t="inlineStr">
        <is>
          <t>Status</t>
        </is>
      </c>
      <c r="D20" s="11" t="inlineStr">
        <is>
          <t>Owner of consequences</t>
        </is>
      </c>
      <c r="E20" s="11" t="inlineStr">
        <is>
          <t>Next action</t>
        </is>
      </c>
    </row>
    <row r="21">
      <c r="B21" s="21">
        <f>IFERROR(INDEX(Register!$B$5:$B$54,MATCH(1,Register!$P$5:$P$54,0))&amp;"","")</f>
        <v/>
      </c>
      <c r="C21" s="21">
        <f>IFERROR(INDEX(Register!$O$5:$O$54,MATCH(1,Register!$P$5:$P$54,0))&amp;"","")</f>
        <v/>
      </c>
      <c r="D21" s="21">
        <f>IFERROR(INDEX(Register!$K$5:$K$54,MATCH(1,Register!$P$5:$P$54,0))&amp;"","")</f>
        <v/>
      </c>
      <c r="E21" s="21">
        <f>IFERROR(INDEX(Register!$Q$5:$Q$54,MATCH(1,Register!$P$5:$P$54,0))&amp;"","")</f>
        <v/>
      </c>
    </row>
    <row r="22">
      <c r="B22" s="21">
        <f>IFERROR(INDEX(Register!$B$5:$B$54,MATCH(2,Register!$P$5:$P$54,0))&amp;"","")</f>
        <v/>
      </c>
      <c r="C22" s="21">
        <f>IFERROR(INDEX(Register!$O$5:$O$54,MATCH(2,Register!$P$5:$P$54,0))&amp;"","")</f>
        <v/>
      </c>
      <c r="D22" s="21">
        <f>IFERROR(INDEX(Register!$K$5:$K$54,MATCH(2,Register!$P$5:$P$54,0))&amp;"","")</f>
        <v/>
      </c>
      <c r="E22" s="21">
        <f>IFERROR(INDEX(Register!$Q$5:$Q$54,MATCH(2,Register!$P$5:$P$54,0))&amp;"","")</f>
        <v/>
      </c>
    </row>
    <row r="23">
      <c r="B23" s="21">
        <f>IFERROR(INDEX(Register!$B$5:$B$54,MATCH(3,Register!$P$5:$P$54,0))&amp;"","")</f>
        <v/>
      </c>
      <c r="C23" s="21">
        <f>IFERROR(INDEX(Register!$O$5:$O$54,MATCH(3,Register!$P$5:$P$54,0))&amp;"","")</f>
        <v/>
      </c>
      <c r="D23" s="21">
        <f>IFERROR(INDEX(Register!$K$5:$K$54,MATCH(3,Register!$P$5:$P$54,0))&amp;"","")</f>
        <v/>
      </c>
      <c r="E23" s="21">
        <f>IFERROR(INDEX(Register!$Q$5:$Q$54,MATCH(3,Register!$P$5:$P$54,0))&amp;"","")</f>
        <v/>
      </c>
    </row>
    <row r="24">
      <c r="B24" s="21">
        <f>IFERROR(INDEX(Register!$B$5:$B$54,MATCH(4,Register!$P$5:$P$54,0))&amp;"","")</f>
        <v/>
      </c>
      <c r="C24" s="21">
        <f>IFERROR(INDEX(Register!$O$5:$O$54,MATCH(4,Register!$P$5:$P$54,0))&amp;"","")</f>
        <v/>
      </c>
      <c r="D24" s="21">
        <f>IFERROR(INDEX(Register!$K$5:$K$54,MATCH(4,Register!$P$5:$P$54,0))&amp;"","")</f>
        <v/>
      </c>
      <c r="E24" s="21">
        <f>IFERROR(INDEX(Register!$Q$5:$Q$54,MATCH(4,Register!$P$5:$P$54,0))&amp;"","")</f>
        <v/>
      </c>
    </row>
    <row r="25">
      <c r="B25" s="21">
        <f>IFERROR(INDEX(Register!$B$5:$B$54,MATCH(5,Register!$P$5:$P$54,0))&amp;"","")</f>
        <v/>
      </c>
      <c r="C25" s="21">
        <f>IFERROR(INDEX(Register!$O$5:$O$54,MATCH(5,Register!$P$5:$P$54,0))&amp;"","")</f>
        <v/>
      </c>
      <c r="D25" s="21">
        <f>IFERROR(INDEX(Register!$K$5:$K$54,MATCH(5,Register!$P$5:$P$54,0))&amp;"","")</f>
        <v/>
      </c>
      <c r="E25" s="21">
        <f>IFERROR(INDEX(Register!$Q$5:$Q$54,MATCH(5,Register!$P$5:$P$54,0))&amp;"","")</f>
        <v/>
      </c>
    </row>
    <row r="27">
      <c r="B27" s="22" t="inlineStr">
        <is>
          <t>Say it plainly: these are the rules moving money with nobody watching them. Then put a name and a date on every blank.</t>
        </is>
      </c>
    </row>
    <row r="30">
      <c r="B30" s="10" t="inlineStr">
        <is>
          <t>© 2026 Elizabeth A. Corey. All rights reserved. GROWTH Execution Model™. onthegrow.ai</t>
        </is>
      </c>
    </row>
  </sheetData>
  <mergeCells count="3">
    <mergeCell ref="B27:E27"/>
    <mergeCell ref="B3:E3"/>
    <mergeCell ref="B2:E2"/>
  </mergeCells>
  <pageMargins left="0.75" right="0.75" top="1" bottom="1" header="0.5" footer="0.5"/>
  <pageSetup orientation="landscape" fitToHeight="0" fitToWidth="1"/>
  <headerFooter>
    <oddHeader/>
    <oddFooter>&amp;LOnTheGrow Leadership | Decision Rights Matrix&amp;RPage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Elizabeth A. Corey</dc:creator>
  <dc:title xmlns:dc="http://purl.org/dc/elements/1.1/">Decision Rights Matrix</dc:title>
  <dcterms:created xmlns:dcterms="http://purl.org/dc/terms/" xmlns:xsi="http://www.w3.org/2001/XMLSchema-instance" xsi:type="dcterms:W3CDTF">2026-10-20T03:01:23Z</dcterms:created>
  <dcterms:modified xmlns:dcterms="http://purl.org/dc/terms/" xmlns:xsi="http://www.w3.org/2001/XMLSchema-instance" xsi:type="dcterms:W3CDTF">2026-10-20T03:01:23Z</dcterms:modified>
</cp:coreProperties>
</file>