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36294F"/>
      <sz val="20"/>
    </font>
    <font>
      <name val="Arial"/>
      <charset val="1"/>
      <family val="0"/>
      <i val="1"/>
      <color rgb="FF39989E"/>
      <sz val="11"/>
    </font>
    <font>
      <name val="Arial"/>
      <charset val="1"/>
      <family val="0"/>
      <color rgb="FF55505F"/>
      <sz val="8"/>
    </font>
    <font>
      <name val="Arial"/>
      <charset val="1"/>
      <family val="0"/>
      <color rgb="FF26222E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36294F"/>
      <sz val="10"/>
    </font>
    <font>
      <name val="Arial"/>
      <charset val="1"/>
      <family val="0"/>
      <b val="1"/>
      <color rgb="FF36294F"/>
      <sz val="16"/>
    </font>
    <font>
      <name val="Arial"/>
      <charset val="1"/>
      <family val="0"/>
      <i val="1"/>
      <color rgb="FF55505F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family val="2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36294F"/>
      <sz val="9"/>
    </font>
  </fonts>
  <fills count="5">
    <fill>
      <patternFill/>
    </fill>
    <fill>
      <patternFill patternType="gray125"/>
    </fill>
    <fill>
      <patternFill patternType="solid">
        <fgColor rgb="FF36294F"/>
        <bgColor rgb="FF26222E"/>
      </patternFill>
    </fill>
    <fill>
      <patternFill patternType="solid">
        <fgColor rgb="FFFFF2CC"/>
        <bgColor rgb="FFFFF4E5"/>
      </patternFill>
    </fill>
    <fill>
      <patternFill patternType="solid">
        <fgColor rgb="FF39989E"/>
        <bgColor rgb="FF2B7A7F"/>
      </patternFill>
    </fill>
  </fills>
  <borders count="2">
    <border>
      <left/>
      <right/>
      <top/>
      <bottom/>
      <diagonal/>
    </border>
    <border>
      <left style="thin">
        <color rgb="FFD9D5E2"/>
      </left>
      <right style="thin">
        <color rgb="FFD9D5E2"/>
      </right>
      <top style="thin">
        <color rgb="FFD9D5E2"/>
      </top>
      <bottom style="thin">
        <color rgb="FFD9D5E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left" vertical="top" wrapText="1"/>
    </xf>
    <xf numFmtId="164" fontId="13" fillId="3" borderId="1" applyAlignment="1" pivotButton="0" quotePrefix="0" xfId="0">
      <alignment horizontal="left" vertical="top" wrapText="1"/>
    </xf>
    <xf numFmtId="0" fontId="12" fillId="2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general" vertical="center" wrapText="1"/>
    </xf>
    <xf numFmtId="1" fontId="17" fillId="0" borderId="1" applyAlignment="1" pivotButton="0" quotePrefix="0" xfId="0">
      <alignment horizontal="general" vertical="center" wrapText="1"/>
    </xf>
    <xf numFmtId="9" fontId="17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9" fontId="16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top" wrapText="1"/>
    </xf>
    <xf numFmtId="164" fontId="16" fillId="0" borderId="1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left" vertical="top" wrapText="1"/>
    </xf>
    <xf numFmtId="164" fontId="13" fillId="3" borderId="1" applyAlignment="1" pivotButton="0" quotePrefix="0" xfId="0">
      <alignment horizontal="left" vertical="top" wrapText="1"/>
    </xf>
    <xf numFmtId="0" fontId="12" fillId="2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general" vertical="center" wrapText="1"/>
    </xf>
    <xf numFmtId="1" fontId="17" fillId="0" borderId="1" applyAlignment="1" pivotButton="0" quotePrefix="0" xfId="0">
      <alignment horizontal="general" vertical="center" wrapText="1"/>
    </xf>
    <xf numFmtId="9" fontId="17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9" fontId="16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top" wrapText="1"/>
    </xf>
    <xf numFmtId="164" fontId="16" fillId="0" borderId="1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2B7A7F"/>
      </font>
      <fill>
        <patternFill>
          <bgColor rgb="FFEAF5F5"/>
        </patternFill>
      </fill>
    </dxf>
    <dxf>
      <font>
        <name val="Arial"/>
        <charset val="1"/>
        <family val="0"/>
        <b val="1"/>
        <color rgb="FF9A5B00"/>
      </font>
      <fill>
        <patternFill>
          <bgColor rgb="FFFFF4E5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8E8"/>
        </patternFill>
      </fill>
    </dxf>
    <dxf>
      <font>
        <name val="Arial"/>
        <charset val="1"/>
        <family val="0"/>
        <b val="1"/>
        <color rgb="FFB4231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5B00"/>
      <rgbColor rgb="FF800080"/>
      <rgbColor rgb="FF2B7A7F"/>
      <rgbColor rgb="FFC0C0C0"/>
      <rgbColor rgb="FF808080"/>
      <rgbColor rgb="FF9999FF"/>
      <rgbColor rgb="FF993366"/>
      <rgbColor rgb="FFFFF2CC"/>
      <rgbColor rgb="FFEAF5F5"/>
      <rgbColor rgb="FF660066"/>
      <rgbColor rgb="FFFF8080"/>
      <rgbColor rgb="FF0066CC"/>
      <rgbColor rgb="FFD9D5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8E8"/>
      <rgbColor rgb="FFCCFFCC"/>
      <rgbColor rgb="FFFFF4E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05F"/>
      <rgbColor rgb="FF969696"/>
      <rgbColor rgb="FF003366"/>
      <rgbColor rgb="FF39989E"/>
      <rgbColor rgb="FF003300"/>
      <rgbColor rgb="FF26222E"/>
      <rgbColor rgb="FFB42318"/>
      <rgbColor rgb="FF993366"/>
      <rgbColor rgb="FF333399"/>
      <rgbColor rgb="FF36294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A5" authorId="0" shapeId="0">
      <text>
        <t>Example rows: common HR questions with sample frequencies and scores. Replace them with your own most-asked questions.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36294F"/>
    <outlinePr summaryBelow="1" summaryRight="1"/>
    <pageSetUpPr fitToPage="1"/>
  </sheetPr>
  <dimension ref="A1:C3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0" min="1" max="1"/>
    <col width="28" customWidth="1" style="30" min="2" max="2"/>
    <col width="95" customWidth="1" style="30" min="3" max="3"/>
  </cols>
  <sheetData>
    <row r="1" ht="30" customHeight="1" s="31">
      <c r="B1" s="32" t="inlineStr">
        <is>
          <t>The Knowledge Readiness Test</t>
        </is>
      </c>
    </row>
    <row r="2" ht="30" customHeight="1" s="31">
      <c r="B2" s="33" t="inlineStr">
        <is>
          <t>From AI Will Scale Good Leadership and Bad Leadership: The CHRO’s Method for Redesigning Work Before AI Scales What’s Broken, by Liz Corey  |  Toolbox No. 3  |  OnTheGrow Leadership</t>
        </is>
      </c>
    </row>
    <row r="3" ht="15" customHeight="1" s="31">
      <c r="B3" s="34" t="inlineStr">
        <is>
          <t>© 2026 Elizabeth A. Corey. All rights reserved. GROWTH Execution Model™. onthegrow.ai</t>
        </is>
      </c>
    </row>
    <row r="4"/>
    <row r="5" ht="30" customHeight="1" s="31">
      <c r="B5" s="35" t="inlineStr">
        <is>
          <t>AI inherits your knowledge exactly as it stands: the outdated version, the contradiction, and the argument nobody settled. Score the answers to your most-asked questions on six tests before you let AI answer them.</t>
        </is>
      </c>
    </row>
    <row r="6"/>
    <row r="7" ht="15" customHeight="1" s="31">
      <c r="B7" s="36" t="inlineStr">
        <is>
          <t>HOW THIS WORKBOOK IS SET UP</t>
        </is>
      </c>
    </row>
    <row r="8" ht="23.85" customHeight="1" s="31">
      <c r="B8" s="37" t="inlineStr">
        <is>
          <t>Scorecard</t>
        </is>
      </c>
      <c r="C8" s="35" t="inlineStr">
        <is>
          <t>Your 20 most-asked questions, scored on six tests. The workbook adds up each score, sets the status, and ranks the repairs.</t>
        </is>
      </c>
    </row>
    <row r="9" ht="15" customHeight="1" s="31">
      <c r="B9" s="37" t="inlineStr">
        <is>
          <t>Summary</t>
        </is>
      </c>
      <c r="C9" s="35" t="inlineStr">
        <is>
          <t>How ready your knowledge is, which test fails most, and your top five repairs.</t>
        </is>
      </c>
    </row>
    <row r="10" ht="15" customHeight="1" s="31">
      <c r="B10" s="37" t="inlineStr">
        <is>
          <t>Example rows</t>
        </is>
      </c>
      <c r="C10" s="35" t="inlineStr">
        <is>
          <t>Twenty common HR questions are filled in so you can see a finished scorecard. Replace them with your own.</t>
        </is>
      </c>
    </row>
    <row r="11" ht="15" customHeight="1" s="31">
      <c r="B11" s="38" t="inlineStr">
        <is>
          <t>Yellow cells</t>
        </is>
      </c>
      <c r="C11" s="35" t="inlineStr">
        <is>
          <t>Type in the yellow cells only. Every other cell is a formula.</t>
        </is>
      </c>
    </row>
    <row r="12"/>
    <row r="13" ht="15" customHeight="1" s="31">
      <c r="B13" s="36" t="inlineStr">
        <is>
          <t>THE SIX TESTS</t>
        </is>
      </c>
    </row>
    <row r="14" ht="15" customHeight="1" s="31">
      <c r="B14" s="37" t="inlineStr">
        <is>
          <t>1. Written</t>
        </is>
      </c>
      <c r="C14" s="35" t="inlineStr">
        <is>
          <t>Is it written down? If the real answer lives in someone's head or an email thread, AI cannot inherit it.</t>
        </is>
      </c>
    </row>
    <row r="15" ht="23.85" customHeight="1" s="31">
      <c r="B15" s="37" t="inlineStr">
        <is>
          <t>2. Current</t>
        </is>
      </c>
      <c r="C15" s="35" t="inlineStr">
        <is>
          <t>Has it been reviewed against what the company actually does today? A document nobody has touched since the last reorganization is a fabrication waiting to be distributed.</t>
        </is>
      </c>
    </row>
    <row r="16" ht="15" customHeight="1" s="31">
      <c r="B16" s="37" t="inlineStr">
        <is>
          <t>3. Singular</t>
        </is>
      </c>
      <c r="C16" s="35" t="inlineStr">
        <is>
          <t>One question, one answer, one place. If two documents disagree, the machine does not decide which is right. It picks.</t>
        </is>
      </c>
    </row>
    <row r="17" ht="15" customHeight="1" s="31">
      <c r="B17" s="37" t="inlineStr">
        <is>
          <t>4. Findable</t>
        </is>
      </c>
      <c r="C17" s="35" t="inlineStr">
        <is>
          <t>Is it titled and stored where a system can retrieve it, not buried on slide forty of an old onboarding deck?</t>
        </is>
      </c>
    </row>
    <row r="18" ht="23.85" customHeight="1" s="31">
      <c r="B18" s="37" t="inlineStr">
        <is>
          <t>5. Owned</t>
        </is>
      </c>
      <c r="C18" s="35" t="inlineStr">
        <is>
          <t>Is a named person accountable for keeping it true? Knowledge without an owner decays, and now it decays in production.</t>
        </is>
      </c>
    </row>
    <row r="19" ht="23.85" customHeight="1" s="31">
      <c r="B19" s="37" t="inlineStr">
        <is>
          <t>6. Permissioned</t>
        </is>
      </c>
      <c r="C19" s="35" t="inlineStr">
        <is>
          <t>Is it defined who may see this answer, and does the system know it? If a person could not open the document, their AI must not quote it.</t>
        </is>
      </c>
    </row>
    <row r="20"/>
    <row r="21" ht="15" customHeight="1" s="31">
      <c r="B21" s="36" t="inlineStr">
        <is>
          <t>STEP BY STEP</t>
        </is>
      </c>
    </row>
    <row r="22" ht="23.85" customHeight="1" s="31">
      <c r="B22" s="37" t="inlineStr">
        <is>
          <t>1. List the questions</t>
        </is>
      </c>
      <c r="C22" s="35" t="inlineStr">
        <is>
          <t>List the 20 questions employees and managers ask most often. Frequency, not importance, drives the list. These are the questions AI will answer first.</t>
        </is>
      </c>
    </row>
    <row r="23" ht="23.85" customHeight="1" s="31">
      <c r="B23" s="37" t="inlineStr">
        <is>
          <t>2. Count how often</t>
        </is>
      </c>
      <c r="C23" s="35" t="inlineStr">
        <is>
          <t>Record how many times a month each question gets asked. Pull it from your HR inbox, help desk, or ticket system if you can.</t>
        </is>
      </c>
    </row>
    <row r="24" ht="23.85" customHeight="1" s="31">
      <c r="B24" s="37" t="inlineStr">
        <is>
          <t>3. Find every answer</t>
        </is>
      </c>
      <c r="C24" s="35" t="inlineStr">
        <is>
          <t>For each question, find every document that answers it: handbook, intranet, policy, email, slide deck. Note where they live and who can open them.</t>
        </is>
      </c>
    </row>
    <row r="25" ht="15" customHeight="1" s="31">
      <c r="B25" s="37" t="inlineStr">
        <is>
          <t>4. Score the six tests</t>
        </is>
      </c>
      <c r="C25" s="35" t="inlineStr">
        <is>
          <t>Answer Y or N for each test. One point per Y. The workbook scores it.</t>
        </is>
      </c>
    </row>
    <row r="26" ht="15" customHeight="1" s="31">
      <c r="B26" s="37" t="inlineStr">
        <is>
          <t>5. Assign owners</t>
        </is>
      </c>
      <c r="C26" s="35" t="inlineStr">
        <is>
          <t>Every question that is not ready gets a named owner and a repair date.</t>
        </is>
      </c>
    </row>
    <row r="27" ht="23.85" customHeight="1" s="31">
      <c r="B27" s="37" t="inlineStr">
        <is>
          <t>6. Repair in frequency order</t>
        </is>
      </c>
      <c r="C27" s="35" t="inlineStr">
        <is>
          <t>Fix the most-asked answers first, not one department at a time. Fixing the ten most-asked answers moves more risk than perfecting a whole archive.</t>
        </is>
      </c>
    </row>
    <row r="28"/>
    <row r="29" ht="15" customHeight="1" s="31">
      <c r="B29" s="36" t="inlineStr">
        <is>
          <t>HOW IT SCORES</t>
        </is>
      </c>
    </row>
    <row r="30" ht="15" customHeight="1" s="31">
      <c r="B30" s="37" t="inlineStr">
        <is>
          <t>6 out of 6</t>
        </is>
      </c>
      <c r="C30" s="35" t="inlineStr">
        <is>
          <t>Ready to ground. AI can safely answer from it.</t>
        </is>
      </c>
    </row>
    <row r="31" ht="15" customHeight="1" s="31">
      <c r="B31" s="37" t="inlineStr">
        <is>
          <t>4 or 5</t>
        </is>
      </c>
      <c r="C31" s="35" t="inlineStr">
        <is>
          <t>Repair. Name an owner and a repair date.</t>
        </is>
      </c>
    </row>
    <row r="32" ht="15" customHeight="1" s="31">
      <c r="B32" s="37" t="inlineStr">
        <is>
          <t>3 or less</t>
        </is>
      </c>
      <c r="C32" s="35" t="inlineStr">
        <is>
          <t>Standing risk. Today it confuses people who work around it. Tomorrow it misinforms a machine that cannot.</t>
        </is>
      </c>
    </row>
    <row r="33" ht="15" customHeight="1" s="31">
      <c r="B33" s="37" t="inlineStr">
        <is>
          <t>Permissioned = N</t>
        </is>
      </c>
      <c r="C33" s="35" t="inlineStr">
        <is>
          <t>Jumps the queue, whatever the score. An access gap leaks information the moment AI touches it.</t>
        </is>
      </c>
    </row>
    <row r="34"/>
    <row r="35" ht="15" customHeight="1" s="31">
      <c r="B35" s="36" t="inlineStr">
        <is>
          <t>WANT IT DONE FASTER?</t>
        </is>
      </c>
    </row>
    <row r="36" ht="30" customHeight="1" s="31">
      <c r="B36" s="37" t="inlineStr">
        <is>
          <t>Knowledge Readiness Auditor</t>
        </is>
      </c>
      <c r="C36" s="35" t="inlineStr">
        <is>
          <t>The AI-powered version reads your policies and handbooks, finds conflicting and outdated versions, and ranks repairs by how often employees ask. Call for pricing. Book a conversation at onthegrow.ai</t>
        </is>
      </c>
    </row>
    <row r="37"/>
    <row r="38" ht="15" customHeight="1" s="31">
      <c r="B38" s="34" t="inlineStr">
        <is>
          <t>© 2026 Elizabeth A. Corey. All rights reserved. GROWTH Execution Model™. onthegrow.ai</t>
        </is>
      </c>
    </row>
  </sheetData>
  <mergeCells count="10">
    <mergeCell ref="B13:C13"/>
    <mergeCell ref="B38:C38"/>
    <mergeCell ref="B21:C21"/>
    <mergeCell ref="B2:C2"/>
    <mergeCell ref="B29:C29"/>
    <mergeCell ref="B7:C7"/>
    <mergeCell ref="B3:C3"/>
    <mergeCell ref="B5:C5"/>
    <mergeCell ref="B1:C1"/>
    <mergeCell ref="B35:C35"/>
  </mergeCell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OnTheGrow Leadership | Knowledge Readiness Test&amp;C&amp;8 © 2026 Elizabeth A. Corey. All rights reserved.&amp;R&amp;8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36294F"/>
    <outlinePr summaryBelow="1" summaryRight="1"/>
    <pageSetUpPr fitToPage="1"/>
  </sheetPr>
  <dimension ref="A1:S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30" min="1" max="1"/>
    <col width="38" customWidth="1" style="30" min="2" max="2"/>
    <col width="10" customWidth="1" style="30" min="3" max="3"/>
    <col width="30" customWidth="1" style="30" min="4" max="4"/>
    <col width="18" customWidth="1" style="30" min="5" max="5"/>
    <col width="9" customWidth="1" style="30" min="6" max="10"/>
    <col width="11" customWidth="1" style="30" min="11" max="11"/>
    <col width="9" customWidth="1" style="30" min="12" max="12"/>
    <col width="15" customWidth="1" style="30" min="13" max="13"/>
    <col width="9" customWidth="1" style="30" min="14" max="14"/>
    <col width="38" customWidth="1" style="30" min="15" max="15"/>
    <col width="18" customWidth="1" style="30" min="16" max="16"/>
    <col width="12" customWidth="1" style="30" min="17" max="17"/>
    <col width="30" customWidth="1" style="30" min="18" max="18"/>
    <col hidden="1" width="6" customWidth="1" style="30" min="19" max="19"/>
  </cols>
  <sheetData>
    <row r="1" ht="19.7" customHeight="1" s="31">
      <c r="A1" s="39" t="inlineStr">
        <is>
          <t>Knowledge Readiness Scorecard</t>
        </is>
      </c>
    </row>
    <row r="2" ht="15" customHeight="1" s="31">
      <c r="A2" s="40" t="inlineStr">
        <is>
          <t>HOW TO USE THIS TAB: One row per question, most-asked first. Answer Y or N for each of the six tests in the yellow cells. Teal columns calculate the score, status, and repair priority. The HR rows are an example; replace them.</t>
        </is>
      </c>
    </row>
    <row r="3" ht="15" customHeight="1" s="31">
      <c r="A3" s="41" t="inlineStr">
        <is>
          <t>© 2026 Elizabeth A. Corey. All rights reserved. GROWTH Execution Model™. onthegrow.ai</t>
        </is>
      </c>
    </row>
    <row r="4" ht="39.75" customHeight="1" s="31">
      <c r="A4" s="42" t="inlineStr">
        <is>
          <t>Rank</t>
        </is>
      </c>
      <c r="B4" s="42" t="inlineStr">
        <is>
          <t>Question employees ask most</t>
        </is>
      </c>
      <c r="C4" s="42" t="inlineStr">
        <is>
          <t>Times asked per month</t>
        </is>
      </c>
      <c r="D4" s="42" t="inlineStr">
        <is>
          <t>Where the answer lives today</t>
        </is>
      </c>
      <c r="E4" s="42" t="inlineStr">
        <is>
          <t>Who can see it today</t>
        </is>
      </c>
      <c r="F4" s="42" t="inlineStr">
        <is>
          <t>Written?</t>
        </is>
      </c>
      <c r="G4" s="42" t="inlineStr">
        <is>
          <t>Current?</t>
        </is>
      </c>
      <c r="H4" s="42" t="inlineStr">
        <is>
          <t>Singular?</t>
        </is>
      </c>
      <c r="I4" s="42" t="inlineStr">
        <is>
          <t>Findable?</t>
        </is>
      </c>
      <c r="J4" s="42" t="inlineStr">
        <is>
          <t>Owned?</t>
        </is>
      </c>
      <c r="K4" s="42" t="inlineStr">
        <is>
          <t>Permissioned?</t>
        </is>
      </c>
      <c r="L4" s="43" t="inlineStr">
        <is>
          <t>Score (of 6)</t>
        </is>
      </c>
      <c r="M4" s="43" t="inlineStr">
        <is>
          <t>Status</t>
        </is>
      </c>
      <c r="N4" s="43" t="inlineStr">
        <is>
          <t>Repair priority</t>
        </is>
      </c>
      <c r="O4" s="43" t="inlineStr">
        <is>
          <t>Next action</t>
        </is>
      </c>
      <c r="P4" s="42" t="inlineStr">
        <is>
          <t>Owner</t>
        </is>
      </c>
      <c r="Q4" s="42" t="inlineStr">
        <is>
          <t>Repair date</t>
        </is>
      </c>
      <c r="R4" s="42" t="inlineStr">
        <is>
          <t>Notes</t>
        </is>
      </c>
      <c r="S4" s="43" t="inlineStr">
        <is>
          <t>key</t>
        </is>
      </c>
    </row>
    <row r="5" ht="15" customHeight="1" s="31">
      <c r="A5" s="44" t="n">
        <v>1</v>
      </c>
      <c r="B5" s="44" t="inlineStr">
        <is>
          <t>How much PTO do I have left?</t>
        </is>
      </c>
      <c r="C5" s="44" t="n">
        <v>60</v>
      </c>
      <c r="D5" s="44" t="inlineStr">
        <is>
          <t>HRIS self-service</t>
        </is>
      </c>
      <c r="E5" s="44" t="inlineStr">
        <is>
          <t>All employees</t>
        </is>
      </c>
      <c r="F5" s="45" t="inlineStr">
        <is>
          <t>Y</t>
        </is>
      </c>
      <c r="G5" s="45" t="inlineStr">
        <is>
          <t>Y</t>
        </is>
      </c>
      <c r="H5" s="45" t="inlineStr">
        <is>
          <t>Y</t>
        </is>
      </c>
      <c r="I5" s="45" t="inlineStr">
        <is>
          <t>Y</t>
        </is>
      </c>
      <c r="J5" s="45" t="inlineStr">
        <is>
          <t>Y</t>
        </is>
      </c>
      <c r="K5" s="45" t="inlineStr">
        <is>
          <t>Y</t>
        </is>
      </c>
      <c r="L5" s="46">
        <f>IF(B5="","",IF(COUNTA(F5:K5)&lt;6,"",COUNTIF(F5:K5,"Y")))</f>
        <v/>
      </c>
      <c r="M5" s="46">
        <f>IF(OR(B5="",L5=""),"",IF(L5=6,"Ready to ground",IF(L5&gt;=4,"Repair","Standing risk")))</f>
        <v/>
      </c>
      <c r="N5" s="46">
        <f>IF(S5="","",RANK(S5,$S$5:$S$54,0))</f>
        <v/>
      </c>
      <c r="O5" s="47">
        <f>IF(B5="","",IF(L5="","Score all six tests.",IF(K5="N","Fix access first. Define who may see this before AI can use it.",IF(M5="Ready to ground","Ready. AI can answer from this source.",IF(P5="","Name an owner and a repair date.",IF(Q5="","Set a repair date.","Repair, then score it again."))))))</f>
        <v/>
      </c>
      <c r="P5" s="44" t="n"/>
      <c r="Q5" s="48" t="n"/>
      <c r="R5" s="44" t="n"/>
      <c r="S5" s="47">
        <f>IF(OR(L5="",M5="Ready to ground"),"",IF(K5="N",100000,0)+IF(ISNUMBER(C5),C5,0)+(6-L5)/10)</f>
        <v/>
      </c>
    </row>
    <row r="6" ht="22.35" customHeight="1" s="31">
      <c r="A6" s="44" t="n">
        <v>2</v>
      </c>
      <c r="B6" s="44" t="inlineStr">
        <is>
          <t>How do I request time off?</t>
        </is>
      </c>
      <c r="C6" s="44" t="n">
        <v>45</v>
      </c>
      <c r="D6" s="44" t="inlineStr">
        <is>
          <t>Handbook; intranet page</t>
        </is>
      </c>
      <c r="E6" s="44" t="inlineStr">
        <is>
          <t>All employees</t>
        </is>
      </c>
      <c r="F6" s="45" t="inlineStr">
        <is>
          <t>Y</t>
        </is>
      </c>
      <c r="G6" s="45" t="inlineStr">
        <is>
          <t>N</t>
        </is>
      </c>
      <c r="H6" s="45" t="inlineStr">
        <is>
          <t>N</t>
        </is>
      </c>
      <c r="I6" s="45" t="inlineStr">
        <is>
          <t>Y</t>
        </is>
      </c>
      <c r="J6" s="45" t="inlineStr">
        <is>
          <t>Y</t>
        </is>
      </c>
      <c r="K6" s="45" t="inlineStr">
        <is>
          <t>Y</t>
        </is>
      </c>
      <c r="L6" s="46">
        <f>IF(B6="","",IF(COUNTA(F6:K6)&lt;6,"",COUNTIF(F6:K6,"Y")))</f>
        <v/>
      </c>
      <c r="M6" s="46">
        <f>IF(OR(B6="",L6=""),"",IF(L6=6,"Ready to ground",IF(L6&gt;=4,"Repair","Standing risk")))</f>
        <v/>
      </c>
      <c r="N6" s="46">
        <f>IF(S6="","",RANK(S6,$S$5:$S$54,0))</f>
        <v/>
      </c>
      <c r="O6" s="47">
        <f>IF(B6="","",IF(L6="","Score all six tests.",IF(K6="N","Fix access first. Define who may see this before AI can use it.",IF(M6="Ready to ground","Ready. AI can answer from this source.",IF(P6="","Name an owner and a repair date.",IF(Q6="","Set a repair date.","Repair, then score it again."))))))</f>
        <v/>
      </c>
      <c r="P6" s="44" t="inlineStr">
        <is>
          <t>HR operations manager</t>
        </is>
      </c>
      <c r="Q6" s="48" t="n">
        <v>46357</v>
      </c>
      <c r="R6" s="44" t="n"/>
      <c r="S6" s="47">
        <f>IF(OR(L6="",M6="Ready to ground"),"",IF(K6="N",100000,0)+IF(ISNUMBER(C6),C6,0)+(6-L6)/10)</f>
        <v/>
      </c>
    </row>
    <row r="7" ht="15" customHeight="1" s="31">
      <c r="A7" s="44" t="n">
        <v>3</v>
      </c>
      <c r="B7" s="44" t="inlineStr">
        <is>
          <t>When does open enrollment start and end?</t>
        </is>
      </c>
      <c r="C7" s="44" t="n">
        <v>40</v>
      </c>
      <c r="D7" s="44" t="inlineStr">
        <is>
          <t>Benefits guide; email announcement</t>
        </is>
      </c>
      <c r="E7" s="44" t="inlineStr">
        <is>
          <t>All employees</t>
        </is>
      </c>
      <c r="F7" s="45" t="inlineStr">
        <is>
          <t>Y</t>
        </is>
      </c>
      <c r="G7" s="45" t="inlineStr">
        <is>
          <t>Y</t>
        </is>
      </c>
      <c r="H7" s="45" t="inlineStr">
        <is>
          <t>N</t>
        </is>
      </c>
      <c r="I7" s="45" t="inlineStr">
        <is>
          <t>Y</t>
        </is>
      </c>
      <c r="J7" s="45" t="inlineStr">
        <is>
          <t>Y</t>
        </is>
      </c>
      <c r="K7" s="45" t="inlineStr">
        <is>
          <t>Y</t>
        </is>
      </c>
      <c r="L7" s="46">
        <f>IF(B7="","",IF(COUNTA(F7:K7)&lt;6,"",COUNTIF(F7:K7,"Y")))</f>
        <v/>
      </c>
      <c r="M7" s="46">
        <f>IF(OR(B7="",L7=""),"",IF(L7=6,"Ready to ground",IF(L7&gt;=4,"Repair","Standing risk")))</f>
        <v/>
      </c>
      <c r="N7" s="46">
        <f>IF(S7="","",RANK(S7,$S$5:$S$54,0))</f>
        <v/>
      </c>
      <c r="O7" s="47">
        <f>IF(B7="","",IF(L7="","Score all six tests.",IF(K7="N","Fix access first. Define who may see this before AI can use it.",IF(M7="Ready to ground","Ready. AI can answer from this source.",IF(P7="","Name an owner and a repair date.",IF(Q7="","Set a repair date.","Repair, then score it again."))))))</f>
        <v/>
      </c>
      <c r="P7" s="44" t="inlineStr">
        <is>
          <t>Benefits manager</t>
        </is>
      </c>
      <c r="Q7" s="48" t="n">
        <v>46357</v>
      </c>
      <c r="R7" s="44" t="inlineStr">
        <is>
          <t>Two sources agree today. Make the benefits guide the one source and retire the email.</t>
        </is>
      </c>
      <c r="S7" s="47">
        <f>IF(OR(L7="",M7="Ready to ground"),"",IF(K7="N",100000,0)+IF(ISNUMBER(C7),C7,0)+(6-L7)/10)</f>
        <v/>
      </c>
    </row>
    <row r="8" ht="15" customHeight="1" s="31">
      <c r="A8" s="44" t="n">
        <v>4</v>
      </c>
      <c r="B8" s="44" t="inlineStr">
        <is>
          <t>How do I add a dependent after a life event?</t>
        </is>
      </c>
      <c r="C8" s="44" t="n">
        <v>30</v>
      </c>
      <c r="D8" s="44" t="inlineStr">
        <is>
          <t>Benefits guide</t>
        </is>
      </c>
      <c r="E8" s="44" t="inlineStr">
        <is>
          <t>All employees</t>
        </is>
      </c>
      <c r="F8" s="45" t="inlineStr">
        <is>
          <t>Y</t>
        </is>
      </c>
      <c r="G8" s="45" t="inlineStr">
        <is>
          <t>Y</t>
        </is>
      </c>
      <c r="H8" s="45" t="inlineStr">
        <is>
          <t>Y</t>
        </is>
      </c>
      <c r="I8" s="45" t="inlineStr">
        <is>
          <t>N</t>
        </is>
      </c>
      <c r="J8" s="45" t="inlineStr">
        <is>
          <t>Y</t>
        </is>
      </c>
      <c r="K8" s="45" t="inlineStr">
        <is>
          <t>Y</t>
        </is>
      </c>
      <c r="L8" s="46">
        <f>IF(B8="","",IF(COUNTA(F8:K8)&lt;6,"",COUNTIF(F8:K8,"Y")))</f>
        <v/>
      </c>
      <c r="M8" s="46">
        <f>IF(OR(B8="",L8=""),"",IF(L8=6,"Ready to ground",IF(L8&gt;=4,"Repair","Standing risk")))</f>
        <v/>
      </c>
      <c r="N8" s="46">
        <f>IF(S8="","",RANK(S8,$S$5:$S$54,0))</f>
        <v/>
      </c>
      <c r="O8" s="47">
        <f>IF(B8="","",IF(L8="","Score all six tests.",IF(K8="N","Fix access first. Define who may see this before AI can use it.",IF(M8="Ready to ground","Ready. AI can answer from this source.",IF(P8="","Name an owner and a repair date.",IF(Q8="","Set a repair date.","Repair, then score it again."))))))</f>
        <v/>
      </c>
      <c r="P8" s="44" t="inlineStr">
        <is>
          <t>Benefits manager</t>
        </is>
      </c>
      <c r="Q8" s="48" t="n">
        <v>46357</v>
      </c>
      <c r="R8" s="44" t="n"/>
      <c r="S8" s="47">
        <f>IF(OR(L8="",M8="Ready to ground"),"",IF(K8="N",100000,0)+IF(ISNUMBER(C8),C8,0)+(6-L8)/10)</f>
        <v/>
      </c>
    </row>
    <row r="9" ht="32.8" customHeight="1" s="31">
      <c r="A9" s="44" t="n">
        <v>5</v>
      </c>
      <c r="B9" s="44" t="inlineStr">
        <is>
          <t>What is the short-term disability policy?</t>
        </is>
      </c>
      <c r="C9" s="44" t="n">
        <v>25</v>
      </c>
      <c r="D9" s="44" t="inlineStr">
        <is>
          <t>Handbook, intranet page, and a forwarded PDF (three versions)</t>
        </is>
      </c>
      <c r="E9" s="44" t="inlineStr">
        <is>
          <t>All employees</t>
        </is>
      </c>
      <c r="F9" s="45" t="inlineStr">
        <is>
          <t>Y</t>
        </is>
      </c>
      <c r="G9" s="45" t="inlineStr">
        <is>
          <t>N</t>
        </is>
      </c>
      <c r="H9" s="45" t="inlineStr">
        <is>
          <t>N</t>
        </is>
      </c>
      <c r="I9" s="45" t="inlineStr">
        <is>
          <t>N</t>
        </is>
      </c>
      <c r="J9" s="45" t="inlineStr">
        <is>
          <t>N</t>
        </is>
      </c>
      <c r="K9" s="45" t="inlineStr">
        <is>
          <t>Y</t>
        </is>
      </c>
      <c r="L9" s="46">
        <f>IF(B9="","",IF(COUNTA(F9:K9)&lt;6,"",COUNTIF(F9:K9,"Y")))</f>
        <v/>
      </c>
      <c r="M9" s="46">
        <f>IF(OR(B9="",L9=""),"",IF(L9=6,"Ready to ground",IF(L9&gt;=4,"Repair","Standing risk")))</f>
        <v/>
      </c>
      <c r="N9" s="46">
        <f>IF(S9="","",RANK(S9,$S$5:$S$54,0))</f>
        <v/>
      </c>
      <c r="O9" s="47">
        <f>IF(B9="","",IF(L9="","Score all six tests.",IF(K9="N","Fix access first. Define who may see this before AI can use it.",IF(M9="Ready to ground","Ready. AI can answer from this source.",IF(P9="","Name an owner and a repair date.",IF(Q9="","Set a repair date.","Repair, then score it again."))))))</f>
        <v/>
      </c>
      <c r="P9" s="44" t="inlineStr">
        <is>
          <t>Benefits manager</t>
        </is>
      </c>
      <c r="Q9" s="48" t="n">
        <v>46357</v>
      </c>
      <c r="R9" s="44" t="inlineStr">
        <is>
          <t>The policy exists in three versions. One is right. Nothing in the documents says which.</t>
        </is>
      </c>
      <c r="S9" s="47">
        <f>IF(OR(L9="",M9="Ready to ground"),"",IF(K9="N",100000,0)+IF(ISNUMBER(C9),C9,0)+(6-L9)/10)</f>
        <v/>
      </c>
    </row>
    <row r="10" ht="15" customHeight="1" s="31">
      <c r="A10" s="44" t="n">
        <v>6</v>
      </c>
      <c r="B10" s="44" t="inlineStr">
        <is>
          <t>How does parental leave work?</t>
        </is>
      </c>
      <c r="C10" s="44" t="n">
        <v>22</v>
      </c>
      <c r="D10" s="44" t="inlineStr">
        <is>
          <t>Handbook; benefits guide</t>
        </is>
      </c>
      <c r="E10" s="44" t="inlineStr">
        <is>
          <t>All employees</t>
        </is>
      </c>
      <c r="F10" s="45" t="inlineStr">
        <is>
          <t>Y</t>
        </is>
      </c>
      <c r="G10" s="45" t="inlineStr">
        <is>
          <t>N</t>
        </is>
      </c>
      <c r="H10" s="45" t="inlineStr">
        <is>
          <t>N</t>
        </is>
      </c>
      <c r="I10" s="45" t="inlineStr">
        <is>
          <t>Y</t>
        </is>
      </c>
      <c r="J10" s="45" t="inlineStr">
        <is>
          <t>Y</t>
        </is>
      </c>
      <c r="K10" s="45" t="inlineStr">
        <is>
          <t>Y</t>
        </is>
      </c>
      <c r="L10" s="46">
        <f>IF(B10="","",IF(COUNTA(F10:K10)&lt;6,"",COUNTIF(F10:K10,"Y")))</f>
        <v/>
      </c>
      <c r="M10" s="46">
        <f>IF(OR(B10="",L10=""),"",IF(L10=6,"Ready to ground",IF(L10&gt;=4,"Repair","Standing risk")))</f>
        <v/>
      </c>
      <c r="N10" s="46">
        <f>IF(S10="","",RANK(S10,$S$5:$S$54,0))</f>
        <v/>
      </c>
      <c r="O10" s="47">
        <f>IF(B10="","",IF(L10="","Score all six tests.",IF(K10="N","Fix access first. Define who may see this before AI can use it.",IF(M10="Ready to ground","Ready. AI can answer from this source.",IF(P10="","Name an owner and a repair date.",IF(Q10="","Set a repair date.","Repair, then score it again."))))))</f>
        <v/>
      </c>
      <c r="P10" s="44" t="inlineStr">
        <is>
          <t>Benefits manager</t>
        </is>
      </c>
      <c r="Q10" s="48" t="n">
        <v>46357</v>
      </c>
      <c r="R10" s="44" t="n"/>
      <c r="S10" s="47">
        <f>IF(OR(L10="",M10="Ready to ground"),"",IF(K10="N",100000,0)+IF(ISNUMBER(C10),C10,0)+(6-L10)/10)</f>
        <v/>
      </c>
    </row>
    <row r="11" ht="15" customHeight="1" s="31">
      <c r="A11" s="44" t="n">
        <v>7</v>
      </c>
      <c r="B11" s="44" t="inlineStr">
        <is>
          <t>Where do I find my pay stub?</t>
        </is>
      </c>
      <c r="C11" s="44" t="n">
        <v>20</v>
      </c>
      <c r="D11" s="44" t="inlineStr">
        <is>
          <t>Payroll portal FAQ</t>
        </is>
      </c>
      <c r="E11" s="44" t="inlineStr">
        <is>
          <t>All employees</t>
        </is>
      </c>
      <c r="F11" s="45" t="inlineStr">
        <is>
          <t>Y</t>
        </is>
      </c>
      <c r="G11" s="45" t="inlineStr">
        <is>
          <t>Y</t>
        </is>
      </c>
      <c r="H11" s="45" t="inlineStr">
        <is>
          <t>Y</t>
        </is>
      </c>
      <c r="I11" s="45" t="inlineStr">
        <is>
          <t>Y</t>
        </is>
      </c>
      <c r="J11" s="45" t="inlineStr">
        <is>
          <t>Y</t>
        </is>
      </c>
      <c r="K11" s="45" t="inlineStr">
        <is>
          <t>Y</t>
        </is>
      </c>
      <c r="L11" s="46">
        <f>IF(B11="","",IF(COUNTA(F11:K11)&lt;6,"",COUNTIF(F11:K11,"Y")))</f>
        <v/>
      </c>
      <c r="M11" s="46">
        <f>IF(OR(B11="",L11=""),"",IF(L11=6,"Ready to ground",IF(L11&gt;=4,"Repair","Standing risk")))</f>
        <v/>
      </c>
      <c r="N11" s="46">
        <f>IF(S11="","",RANK(S11,$S$5:$S$54,0))</f>
        <v/>
      </c>
      <c r="O11" s="47">
        <f>IF(B11="","",IF(L11="","Score all six tests.",IF(K11="N","Fix access first. Define who may see this before AI can use it.",IF(M11="Ready to ground","Ready. AI can answer from this source.",IF(P11="","Name an owner and a repair date.",IF(Q11="","Set a repair date.","Repair, then score it again."))))))</f>
        <v/>
      </c>
      <c r="P11" s="44" t="n"/>
      <c r="Q11" s="48" t="n"/>
      <c r="R11" s="44" t="n"/>
      <c r="S11" s="47">
        <f>IF(OR(L11="",M11="Ready to ground"),"",IF(K11="N",100000,0)+IF(ISNUMBER(C11),C11,0)+(6-L11)/10)</f>
        <v/>
      </c>
    </row>
    <row r="12" ht="15" customHeight="1" s="31">
      <c r="A12" s="44" t="n">
        <v>8</v>
      </c>
      <c r="B12" s="44" t="inlineStr">
        <is>
          <t>How do I update my direct deposit?</t>
        </is>
      </c>
      <c r="C12" s="44" t="n">
        <v>18</v>
      </c>
      <c r="D12" s="44" t="inlineStr">
        <is>
          <t>Payroll portal FAQ</t>
        </is>
      </c>
      <c r="E12" s="44" t="inlineStr">
        <is>
          <t>All employees</t>
        </is>
      </c>
      <c r="F12" s="45" t="inlineStr">
        <is>
          <t>Y</t>
        </is>
      </c>
      <c r="G12" s="45" t="inlineStr">
        <is>
          <t>Y</t>
        </is>
      </c>
      <c r="H12" s="45" t="inlineStr">
        <is>
          <t>Y</t>
        </is>
      </c>
      <c r="I12" s="45" t="inlineStr">
        <is>
          <t>Y</t>
        </is>
      </c>
      <c r="J12" s="45" t="inlineStr">
        <is>
          <t>Y</t>
        </is>
      </c>
      <c r="K12" s="45" t="inlineStr">
        <is>
          <t>Y</t>
        </is>
      </c>
      <c r="L12" s="46">
        <f>IF(B12="","",IF(COUNTA(F12:K12)&lt;6,"",COUNTIF(F12:K12,"Y")))</f>
        <v/>
      </c>
      <c r="M12" s="46">
        <f>IF(OR(B12="",L12=""),"",IF(L12=6,"Ready to ground",IF(L12&gt;=4,"Repair","Standing risk")))</f>
        <v/>
      </c>
      <c r="N12" s="46">
        <f>IF(S12="","",RANK(S12,$S$5:$S$54,0))</f>
        <v/>
      </c>
      <c r="O12" s="47">
        <f>IF(B12="","",IF(L12="","Score all six tests.",IF(K12="N","Fix access first. Define who may see this before AI can use it.",IF(M12="Ready to ground","Ready. AI can answer from this source.",IF(P12="","Name an owner and a repair date.",IF(Q12="","Set a repair date.","Repair, then score it again."))))))</f>
        <v/>
      </c>
      <c r="P12" s="44" t="n"/>
      <c r="Q12" s="48" t="n"/>
      <c r="R12" s="44" t="n"/>
      <c r="S12" s="47">
        <f>IF(OR(L12="",M12="Ready to ground"),"",IF(K12="N",100000,0)+IF(ISNUMBER(C12),C12,0)+(6-L12)/10)</f>
        <v/>
      </c>
    </row>
    <row r="13" ht="15" customHeight="1" s="31">
      <c r="A13" s="44" t="n">
        <v>9</v>
      </c>
      <c r="B13" s="44" t="inlineStr">
        <is>
          <t>Which holidays does the company observe?</t>
        </is>
      </c>
      <c r="C13" s="44" t="n">
        <v>16</v>
      </c>
      <c r="D13" s="44" t="inlineStr">
        <is>
          <t>Intranet calendar</t>
        </is>
      </c>
      <c r="E13" s="44" t="inlineStr">
        <is>
          <t>All employees</t>
        </is>
      </c>
      <c r="F13" s="45" t="inlineStr">
        <is>
          <t>Y</t>
        </is>
      </c>
      <c r="G13" s="45" t="inlineStr">
        <is>
          <t>Y</t>
        </is>
      </c>
      <c r="H13" s="45" t="inlineStr">
        <is>
          <t>Y</t>
        </is>
      </c>
      <c r="I13" s="45" t="inlineStr">
        <is>
          <t>Y</t>
        </is>
      </c>
      <c r="J13" s="45" t="inlineStr">
        <is>
          <t>Y</t>
        </is>
      </c>
      <c r="K13" s="45" t="inlineStr">
        <is>
          <t>Y</t>
        </is>
      </c>
      <c r="L13" s="46">
        <f>IF(B13="","",IF(COUNTA(F13:K13)&lt;6,"",COUNTIF(F13:K13,"Y")))</f>
        <v/>
      </c>
      <c r="M13" s="46">
        <f>IF(OR(B13="",L13=""),"",IF(L13=6,"Ready to ground",IF(L13&gt;=4,"Repair","Standing risk")))</f>
        <v/>
      </c>
      <c r="N13" s="46">
        <f>IF(S13="","",RANK(S13,$S$5:$S$54,0))</f>
        <v/>
      </c>
      <c r="O13" s="47">
        <f>IF(B13="","",IF(L13="","Score all six tests.",IF(K13="N","Fix access first. Define who may see this before AI can use it.",IF(M13="Ready to ground","Ready. AI can answer from this source.",IF(P13="","Name an owner and a repair date.",IF(Q13="","Set a repair date.","Repair, then score it again."))))))</f>
        <v/>
      </c>
      <c r="P13" s="44" t="n"/>
      <c r="Q13" s="48" t="n"/>
      <c r="R13" s="44" t="n"/>
      <c r="S13" s="47">
        <f>IF(OR(L13="",M13="Ready to ground"),"",IF(K13="N",100000,0)+IF(ISNUMBER(C13),C13,0)+(6-L13)/10)</f>
        <v/>
      </c>
    </row>
    <row r="14" ht="22.35" customHeight="1" s="31">
      <c r="A14" s="44" t="n">
        <v>10</v>
      </c>
      <c r="B14" s="44" t="inlineStr">
        <is>
          <t>What is the remote work policy?</t>
        </is>
      </c>
      <c r="C14" s="44" t="n">
        <v>15</v>
      </c>
      <c r="D14" s="44" t="inlineStr">
        <is>
          <t>Manager emails; draft policy</t>
        </is>
      </c>
      <c r="E14" s="44" t="inlineStr">
        <is>
          <t>Managers only</t>
        </is>
      </c>
      <c r="F14" s="45" t="inlineStr">
        <is>
          <t>N</t>
        </is>
      </c>
      <c r="G14" s="45" t="inlineStr">
        <is>
          <t>N</t>
        </is>
      </c>
      <c r="H14" s="45" t="inlineStr">
        <is>
          <t>N</t>
        </is>
      </c>
      <c r="I14" s="45" t="inlineStr">
        <is>
          <t>N</t>
        </is>
      </c>
      <c r="J14" s="45" t="inlineStr">
        <is>
          <t>N</t>
        </is>
      </c>
      <c r="K14" s="45" t="inlineStr">
        <is>
          <t>N</t>
        </is>
      </c>
      <c r="L14" s="46">
        <f>IF(B14="","",IF(COUNTA(F14:K14)&lt;6,"",COUNTIF(F14:K14,"Y")))</f>
        <v/>
      </c>
      <c r="M14" s="46">
        <f>IF(OR(B14="",L14=""),"",IF(L14=6,"Ready to ground",IF(L14&gt;=4,"Repair","Standing risk")))</f>
        <v/>
      </c>
      <c r="N14" s="46">
        <f>IF(S14="","",RANK(S14,$S$5:$S$54,0))</f>
        <v/>
      </c>
      <c r="O14" s="47">
        <f>IF(B14="","",IF(L14="","Score all six tests.",IF(K14="N","Fix access first. Define who may see this before AI can use it.",IF(M14="Ready to ground","Ready. AI can answer from this source.",IF(P14="","Name an owner and a repair date.",IF(Q14="","Set a repair date.","Repair, then score it again."))))))</f>
        <v/>
      </c>
      <c r="P14" s="44" t="inlineStr">
        <is>
          <t>HR operations manager</t>
        </is>
      </c>
      <c r="Q14" s="48" t="n">
        <v>46341</v>
      </c>
      <c r="R14" s="44" t="n"/>
      <c r="S14" s="47">
        <f>IF(OR(L14="",M14="Ready to ground"),"",IF(K14="N",100000,0)+IF(ISNUMBER(C14),C14,0)+(6-L14)/10)</f>
        <v/>
      </c>
    </row>
    <row r="15" ht="22.35" customHeight="1" s="31">
      <c r="A15" s="44" t="n">
        <v>11</v>
      </c>
      <c r="B15" s="44" t="inlineStr">
        <is>
          <t>How is overtime calculated?</t>
        </is>
      </c>
      <c r="C15" s="44" t="n">
        <v>14</v>
      </c>
      <c r="D15" s="44" t="inlineStr">
        <is>
          <t>Payroll configuration; handbook</t>
        </is>
      </c>
      <c r="E15" s="44" t="inlineStr">
        <is>
          <t>Payroll team</t>
        </is>
      </c>
      <c r="F15" s="45" t="inlineStr">
        <is>
          <t>Y</t>
        </is>
      </c>
      <c r="G15" s="45" t="inlineStr">
        <is>
          <t>N</t>
        </is>
      </c>
      <c r="H15" s="45" t="inlineStr">
        <is>
          <t>N</t>
        </is>
      </c>
      <c r="I15" s="45" t="inlineStr">
        <is>
          <t>N</t>
        </is>
      </c>
      <c r="J15" s="45" t="inlineStr">
        <is>
          <t>Y</t>
        </is>
      </c>
      <c r="K15" s="45" t="inlineStr">
        <is>
          <t>Y</t>
        </is>
      </c>
      <c r="L15" s="46">
        <f>IF(B15="","",IF(COUNTA(F15:K15)&lt;6,"",COUNTIF(F15:K15,"Y")))</f>
        <v/>
      </c>
      <c r="M15" s="46">
        <f>IF(OR(B15="",L15=""),"",IF(L15=6,"Ready to ground",IF(L15&gt;=4,"Repair","Standing risk")))</f>
        <v/>
      </c>
      <c r="N15" s="46">
        <f>IF(S15="","",RANK(S15,$S$5:$S$54,0))</f>
        <v/>
      </c>
      <c r="O15" s="47">
        <f>IF(B15="","",IF(L15="","Score all six tests.",IF(K15="N","Fix access first. Define who may see this before AI can use it.",IF(M15="Ready to ground","Ready. AI can answer from this source.",IF(P15="","Name an owner and a repair date.",IF(Q15="","Set a repair date.","Repair, then score it again."))))))</f>
        <v/>
      </c>
      <c r="P15" s="44" t="inlineStr">
        <is>
          <t>Compensation manager</t>
        </is>
      </c>
      <c r="Q15" s="48" t="n">
        <v>46402</v>
      </c>
      <c r="R15" s="44" t="n"/>
      <c r="S15" s="47">
        <f>IF(OR(L15="",M15="Ready to ground"),"",IF(K15="N",100000,0)+IF(ISNUMBER(C15),C15,0)+(6-L15)/10)</f>
        <v/>
      </c>
    </row>
    <row r="16" ht="15" customHeight="1" s="31">
      <c r="A16" s="44" t="n">
        <v>12</v>
      </c>
      <c r="B16" s="44" t="inlineStr">
        <is>
          <t>How do I submit an expense?</t>
        </is>
      </c>
      <c r="C16" s="44" t="n">
        <v>13</v>
      </c>
      <c r="D16" s="44" t="inlineStr">
        <is>
          <t>Finance intranet page</t>
        </is>
      </c>
      <c r="E16" s="44" t="inlineStr">
        <is>
          <t>All employees</t>
        </is>
      </c>
      <c r="F16" s="45" t="inlineStr">
        <is>
          <t>Y</t>
        </is>
      </c>
      <c r="G16" s="45" t="inlineStr">
        <is>
          <t>Y</t>
        </is>
      </c>
      <c r="H16" s="45" t="inlineStr">
        <is>
          <t>Y</t>
        </is>
      </c>
      <c r="I16" s="45" t="inlineStr">
        <is>
          <t>Y</t>
        </is>
      </c>
      <c r="J16" s="45" t="inlineStr">
        <is>
          <t>Y</t>
        </is>
      </c>
      <c r="K16" s="45" t="inlineStr">
        <is>
          <t>Y</t>
        </is>
      </c>
      <c r="L16" s="46">
        <f>IF(B16="","",IF(COUNTA(F16:K16)&lt;6,"",COUNTIF(F16:K16,"Y")))</f>
        <v/>
      </c>
      <c r="M16" s="46">
        <f>IF(OR(B16="",L16=""),"",IF(L16=6,"Ready to ground",IF(L16&gt;=4,"Repair","Standing risk")))</f>
        <v/>
      </c>
      <c r="N16" s="46">
        <f>IF(S16="","",RANK(S16,$S$5:$S$54,0))</f>
        <v/>
      </c>
      <c r="O16" s="47">
        <f>IF(B16="","",IF(L16="","Score all six tests.",IF(K16="N","Fix access first. Define who may see this before AI can use it.",IF(M16="Ready to ground","Ready. AI can answer from this source.",IF(P16="","Name an owner and a repair date.",IF(Q16="","Set a repair date.","Repair, then score it again."))))))</f>
        <v/>
      </c>
      <c r="P16" s="44" t="n"/>
      <c r="Q16" s="48" t="n"/>
      <c r="R16" s="44" t="n"/>
      <c r="S16" s="47">
        <f>IF(OR(L16="",M16="Ready to ground"),"",IF(K16="N",100000,0)+IF(ISNUMBER(C16),C16,0)+(6-L16)/10)</f>
        <v/>
      </c>
    </row>
    <row r="17" ht="15" customHeight="1" s="31">
      <c r="A17" s="44" t="n">
        <v>13</v>
      </c>
      <c r="B17" s="44" t="inlineStr">
        <is>
          <t>What is the bereavement leave policy?</t>
        </is>
      </c>
      <c r="C17" s="44" t="n">
        <v>10</v>
      </c>
      <c r="D17" s="44" t="inlineStr">
        <is>
          <t>Handbook</t>
        </is>
      </c>
      <c r="E17" s="44" t="inlineStr">
        <is>
          <t>All employees</t>
        </is>
      </c>
      <c r="F17" s="45" t="inlineStr">
        <is>
          <t>Y</t>
        </is>
      </c>
      <c r="G17" s="45" t="inlineStr">
        <is>
          <t>Y</t>
        </is>
      </c>
      <c r="H17" s="45" t="inlineStr">
        <is>
          <t>Y</t>
        </is>
      </c>
      <c r="I17" s="45" t="inlineStr">
        <is>
          <t>N</t>
        </is>
      </c>
      <c r="J17" s="45" t="inlineStr">
        <is>
          <t>Y</t>
        </is>
      </c>
      <c r="K17" s="45" t="inlineStr">
        <is>
          <t>Y</t>
        </is>
      </c>
      <c r="L17" s="46">
        <f>IF(B17="","",IF(COUNTA(F17:K17)&lt;6,"",COUNTIF(F17:K17,"Y")))</f>
        <v/>
      </c>
      <c r="M17" s="46">
        <f>IF(OR(B17="",L17=""),"",IF(L17=6,"Ready to ground",IF(L17&gt;=4,"Repair","Standing risk")))</f>
        <v/>
      </c>
      <c r="N17" s="46">
        <f>IF(S17="","",RANK(S17,$S$5:$S$54,0))</f>
        <v/>
      </c>
      <c r="O17" s="47">
        <f>IF(B17="","",IF(L17="","Score all six tests.",IF(K17="N","Fix access first. Define who may see this before AI can use it.",IF(M17="Ready to ground","Ready. AI can answer from this source.",IF(P17="","Name an owner and a repair date.",IF(Q17="","Set a repair date.","Repair, then score it again."))))))</f>
        <v/>
      </c>
      <c r="P17" s="44" t="inlineStr">
        <is>
          <t>Benefits manager</t>
        </is>
      </c>
      <c r="Q17" s="48" t="n">
        <v>46402</v>
      </c>
      <c r="R17" s="44" t="n"/>
      <c r="S17" s="47">
        <f>IF(OR(L17="",M17="Ready to ground"),"",IF(K17="N",100000,0)+IF(ISNUMBER(C17),C17,0)+(6-L17)/10)</f>
        <v/>
      </c>
    </row>
    <row r="18" ht="22.35" customHeight="1" s="31">
      <c r="A18" s="44" t="n">
        <v>14</v>
      </c>
      <c r="B18" s="44" t="inlineStr">
        <is>
          <t>How do I request a reasonable accommodation?</t>
        </is>
      </c>
      <c r="C18" s="44" t="n">
        <v>9</v>
      </c>
      <c r="D18" s="44" t="inlineStr">
        <is>
          <t>Handbook; HR shared drive form</t>
        </is>
      </c>
      <c r="E18" s="44" t="inlineStr">
        <is>
          <t>HR shared drive (open to all)</t>
        </is>
      </c>
      <c r="F18" s="45" t="inlineStr">
        <is>
          <t>Y</t>
        </is>
      </c>
      <c r="G18" s="45" t="inlineStr">
        <is>
          <t>Y</t>
        </is>
      </c>
      <c r="H18" s="45" t="inlineStr">
        <is>
          <t>Y</t>
        </is>
      </c>
      <c r="I18" s="45" t="inlineStr">
        <is>
          <t>N</t>
        </is>
      </c>
      <c r="J18" s="45" t="inlineStr">
        <is>
          <t>Y</t>
        </is>
      </c>
      <c r="K18" s="45" t="inlineStr">
        <is>
          <t>N</t>
        </is>
      </c>
      <c r="L18" s="46">
        <f>IF(B18="","",IF(COUNTA(F18:K18)&lt;6,"",COUNTIF(F18:K18,"Y")))</f>
        <v/>
      </c>
      <c r="M18" s="46">
        <f>IF(OR(B18="",L18=""),"",IF(L18=6,"Ready to ground",IF(L18&gt;=4,"Repair","Standing risk")))</f>
        <v/>
      </c>
      <c r="N18" s="46">
        <f>IF(S18="","",RANK(S18,$S$5:$S$54,0))</f>
        <v/>
      </c>
      <c r="O18" s="47">
        <f>IF(B18="","",IF(L18="","Score all six tests.",IF(K18="N","Fix access first. Define who may see this before AI can use it.",IF(M18="Ready to ground","Ready. AI can answer from this source.",IF(P18="","Name an owner and a repair date.",IF(Q18="","Set a repair date.","Repair, then score it again."))))))</f>
        <v/>
      </c>
      <c r="P18" s="44" t="inlineStr">
        <is>
          <t>HR operations manager</t>
        </is>
      </c>
      <c r="Q18" s="48" t="n">
        <v>46341</v>
      </c>
      <c r="R18" s="44" t="n"/>
      <c r="S18" s="47">
        <f>IF(OR(L18="",M18="Ready to ground"),"",IF(K18="N",100000,0)+IF(ISNUMBER(C18),C18,0)+(6-L18)/10)</f>
        <v/>
      </c>
    </row>
    <row r="19" ht="22.35" customHeight="1" s="31">
      <c r="A19" s="44" t="n">
        <v>15</v>
      </c>
      <c r="B19" s="44" t="inlineStr">
        <is>
          <t>What is the pay range for my role?</t>
        </is>
      </c>
      <c r="C19" s="44" t="n">
        <v>9</v>
      </c>
      <c r="D19" s="44" t="inlineStr">
        <is>
          <t>Compensation spreadsheet</t>
        </is>
      </c>
      <c r="E19" s="44" t="inlineStr">
        <is>
          <t>Comp team; shared link circulating</t>
        </is>
      </c>
      <c r="F19" s="45" t="inlineStr">
        <is>
          <t>Y</t>
        </is>
      </c>
      <c r="G19" s="45" t="inlineStr">
        <is>
          <t>N</t>
        </is>
      </c>
      <c r="H19" s="45" t="inlineStr">
        <is>
          <t>Y</t>
        </is>
      </c>
      <c r="I19" s="45" t="inlineStr">
        <is>
          <t>N</t>
        </is>
      </c>
      <c r="J19" s="45" t="inlineStr">
        <is>
          <t>Y</t>
        </is>
      </c>
      <c r="K19" s="45" t="inlineStr">
        <is>
          <t>N</t>
        </is>
      </c>
      <c r="L19" s="46">
        <f>IF(B19="","",IF(COUNTA(F19:K19)&lt;6,"",COUNTIF(F19:K19,"Y")))</f>
        <v/>
      </c>
      <c r="M19" s="46">
        <f>IF(OR(B19="",L19=""),"",IF(L19=6,"Ready to ground",IF(L19&gt;=4,"Repair","Standing risk")))</f>
        <v/>
      </c>
      <c r="N19" s="46">
        <f>IF(S19="","",RANK(S19,$S$5:$S$54,0))</f>
        <v/>
      </c>
      <c r="O19" s="47">
        <f>IF(B19="","",IF(L19="","Score all six tests.",IF(K19="N","Fix access first. Define who may see this before AI can use it.",IF(M19="Ready to ground","Ready. AI can answer from this source.",IF(P19="","Name an owner and a repair date.",IF(Q19="","Set a repair date.","Repair, then score it again."))))))</f>
        <v/>
      </c>
      <c r="P19" s="44" t="inlineStr">
        <is>
          <t>Compensation manager</t>
        </is>
      </c>
      <c r="Q19" s="48" t="n">
        <v>46341</v>
      </c>
      <c r="R19" s="44" t="n"/>
      <c r="S19" s="47">
        <f>IF(OR(L19="",M19="Ready to ground"),"",IF(K19="N",100000,0)+IF(ISNUMBER(C19),C19,0)+(6-L19)/10)</f>
        <v/>
      </c>
    </row>
    <row r="20" ht="22.35" customHeight="1" s="31">
      <c r="A20" s="44" t="n">
        <v>16</v>
      </c>
      <c r="B20" s="44" t="inlineStr">
        <is>
          <t>How does the performance review process work?</t>
        </is>
      </c>
      <c r="C20" s="44" t="n">
        <v>8</v>
      </c>
      <c r="D20" s="44" t="inlineStr">
        <is>
          <t>Slide deck from last year's kickoff</t>
        </is>
      </c>
      <c r="E20" s="44" t="inlineStr">
        <is>
          <t>All employees</t>
        </is>
      </c>
      <c r="F20" s="45" t="inlineStr">
        <is>
          <t>Y</t>
        </is>
      </c>
      <c r="G20" s="45" t="inlineStr">
        <is>
          <t>N</t>
        </is>
      </c>
      <c r="H20" s="45" t="inlineStr">
        <is>
          <t>Y</t>
        </is>
      </c>
      <c r="I20" s="45" t="inlineStr">
        <is>
          <t>N</t>
        </is>
      </c>
      <c r="J20" s="45" t="inlineStr">
        <is>
          <t>N</t>
        </is>
      </c>
      <c r="K20" s="45" t="inlineStr">
        <is>
          <t>Y</t>
        </is>
      </c>
      <c r="L20" s="46">
        <f>IF(B20="","",IF(COUNTA(F20:K20)&lt;6,"",COUNTIF(F20:K20,"Y")))</f>
        <v/>
      </c>
      <c r="M20" s="46">
        <f>IF(OR(B20="",L20=""),"",IF(L20=6,"Ready to ground",IF(L20&gt;=4,"Repair","Standing risk")))</f>
        <v/>
      </c>
      <c r="N20" s="46">
        <f>IF(S20="","",RANK(S20,$S$5:$S$54,0))</f>
        <v/>
      </c>
      <c r="O20" s="47">
        <f>IF(B20="","",IF(L20="","Score all six tests.",IF(K20="N","Fix access first. Define who may see this before AI can use it.",IF(M20="Ready to ground","Ready. AI can answer from this source.",IF(P20="","Name an owner and a repair date.",IF(Q20="","Set a repair date.","Repair, then score it again."))))))</f>
        <v/>
      </c>
      <c r="P20" s="44" t="inlineStr">
        <is>
          <t>HR operations manager</t>
        </is>
      </c>
      <c r="Q20" s="48" t="n">
        <v>46402</v>
      </c>
      <c r="R20" s="44" t="n"/>
      <c r="S20" s="47">
        <f>IF(OR(L20="",M20="Ready to ground"),"",IF(K20="N",100000,0)+IF(ISNUMBER(C20),C20,0)+(6-L20)/10)</f>
        <v/>
      </c>
    </row>
    <row r="21" ht="22.35" customHeight="1" s="31">
      <c r="A21" s="44" t="n">
        <v>17</v>
      </c>
      <c r="B21" s="44" t="inlineStr">
        <is>
          <t>How do I refer a candidate, and what is the bonus?</t>
        </is>
      </c>
      <c r="C21" s="44" t="n">
        <v>7</v>
      </c>
      <c r="D21" s="44" t="inlineStr">
        <is>
          <t>Recruiting intranet page</t>
        </is>
      </c>
      <c r="E21" s="44" t="inlineStr">
        <is>
          <t>All employees</t>
        </is>
      </c>
      <c r="F21" s="45" t="inlineStr">
        <is>
          <t>Y</t>
        </is>
      </c>
      <c r="G21" s="45" t="inlineStr">
        <is>
          <t>Y</t>
        </is>
      </c>
      <c r="H21" s="45" t="inlineStr">
        <is>
          <t>Y</t>
        </is>
      </c>
      <c r="I21" s="45" t="inlineStr">
        <is>
          <t>Y</t>
        </is>
      </c>
      <c r="J21" s="45" t="inlineStr">
        <is>
          <t>N</t>
        </is>
      </c>
      <c r="K21" s="45" t="inlineStr">
        <is>
          <t>Y</t>
        </is>
      </c>
      <c r="L21" s="46">
        <f>IF(B21="","",IF(COUNTA(F21:K21)&lt;6,"",COUNTIF(F21:K21,"Y")))</f>
        <v/>
      </c>
      <c r="M21" s="46">
        <f>IF(OR(B21="",L21=""),"",IF(L21=6,"Ready to ground",IF(L21&gt;=4,"Repair","Standing risk")))</f>
        <v/>
      </c>
      <c r="N21" s="46">
        <f>IF(S21="","",RANK(S21,$S$5:$S$54,0))</f>
        <v/>
      </c>
      <c r="O21" s="47">
        <f>IF(B21="","",IF(L21="","Score all six tests.",IF(K21="N","Fix access first. Define who may see this before AI can use it.",IF(M21="Ready to ground","Ready. AI can answer from this source.",IF(P21="","Name an owner and a repair date.",IF(Q21="","Set a repair date.","Repair, then score it again."))))))</f>
        <v/>
      </c>
      <c r="P21" s="44" t="inlineStr">
        <is>
          <t>HR operations manager</t>
        </is>
      </c>
      <c r="Q21" s="48" t="n">
        <v>46433</v>
      </c>
      <c r="R21" s="44" t="n"/>
      <c r="S21" s="47">
        <f>IF(OR(L21="",M21="Ready to ground"),"",IF(K21="N",100000,0)+IF(ISNUMBER(C21),C21,0)+(6-L21)/10)</f>
        <v/>
      </c>
    </row>
    <row r="22" ht="15" customHeight="1" s="31">
      <c r="A22" s="44" t="n">
        <v>18</v>
      </c>
      <c r="B22" s="44" t="inlineStr">
        <is>
          <t>What tuition reimbursement is available?</t>
        </is>
      </c>
      <c r="C22" s="44" t="n">
        <v>6</v>
      </c>
      <c r="D22" s="44" t="inlineStr">
        <is>
          <t>Handbook</t>
        </is>
      </c>
      <c r="E22" s="44" t="inlineStr">
        <is>
          <t>All employees</t>
        </is>
      </c>
      <c r="F22" s="45" t="inlineStr">
        <is>
          <t>Y</t>
        </is>
      </c>
      <c r="G22" s="45" t="inlineStr">
        <is>
          <t>N</t>
        </is>
      </c>
      <c r="H22" s="45" t="inlineStr">
        <is>
          <t>Y</t>
        </is>
      </c>
      <c r="I22" s="45" t="inlineStr">
        <is>
          <t>Y</t>
        </is>
      </c>
      <c r="J22" s="45" t="inlineStr">
        <is>
          <t>N</t>
        </is>
      </c>
      <c r="K22" s="45" t="inlineStr">
        <is>
          <t>Y</t>
        </is>
      </c>
      <c r="L22" s="46">
        <f>IF(B22="","",IF(COUNTA(F22:K22)&lt;6,"",COUNTIF(F22:K22,"Y")))</f>
        <v/>
      </c>
      <c r="M22" s="46">
        <f>IF(OR(B22="",L22=""),"",IF(L22=6,"Ready to ground",IF(L22&gt;=4,"Repair","Standing risk")))</f>
        <v/>
      </c>
      <c r="N22" s="46">
        <f>IF(S22="","",RANK(S22,$S$5:$S$54,0))</f>
        <v/>
      </c>
      <c r="O22" s="47">
        <f>IF(B22="","",IF(L22="","Score all six tests.",IF(K22="N","Fix access first. Define who may see this before AI can use it.",IF(M22="Ready to ground","Ready. AI can answer from this source.",IF(P22="","Name an owner and a repair date.",IF(Q22="","Set a repair date.","Repair, then score it again."))))))</f>
        <v/>
      </c>
      <c r="P22" s="44" t="inlineStr">
        <is>
          <t>Benefits manager</t>
        </is>
      </c>
      <c r="Q22" s="48" t="n">
        <v>46433</v>
      </c>
      <c r="R22" s="44" t="n"/>
      <c r="S22" s="47">
        <f>IF(OR(L22="",M22="Ready to ground"),"",IF(K22="N",100000,0)+IF(ISNUMBER(C22),C22,0)+(6-L22)/10)</f>
        <v/>
      </c>
    </row>
    <row r="23" ht="15" customHeight="1" s="31">
      <c r="A23" s="44" t="n">
        <v>19</v>
      </c>
      <c r="B23" s="44" t="inlineStr">
        <is>
          <t>How do I report a concern confidentially?</t>
        </is>
      </c>
      <c r="C23" s="44" t="n">
        <v>5</v>
      </c>
      <c r="D23" s="44" t="inlineStr">
        <is>
          <t>Code of conduct; ethics hotline page</t>
        </is>
      </c>
      <c r="E23" s="44" t="inlineStr">
        <is>
          <t>All employees</t>
        </is>
      </c>
      <c r="F23" s="45" t="inlineStr">
        <is>
          <t>Y</t>
        </is>
      </c>
      <c r="G23" s="45" t="inlineStr">
        <is>
          <t>Y</t>
        </is>
      </c>
      <c r="H23" s="45" t="inlineStr">
        <is>
          <t>Y</t>
        </is>
      </c>
      <c r="I23" s="45" t="inlineStr">
        <is>
          <t>Y</t>
        </is>
      </c>
      <c r="J23" s="45" t="inlineStr">
        <is>
          <t>Y</t>
        </is>
      </c>
      <c r="K23" s="45" t="inlineStr">
        <is>
          <t>Y</t>
        </is>
      </c>
      <c r="L23" s="46">
        <f>IF(B23="","",IF(COUNTA(F23:K23)&lt;6,"",COUNTIF(F23:K23,"Y")))</f>
        <v/>
      </c>
      <c r="M23" s="46">
        <f>IF(OR(B23="",L23=""),"",IF(L23=6,"Ready to ground",IF(L23&gt;=4,"Repair","Standing risk")))</f>
        <v/>
      </c>
      <c r="N23" s="46">
        <f>IF(S23="","",RANK(S23,$S$5:$S$54,0))</f>
        <v/>
      </c>
      <c r="O23" s="47">
        <f>IF(B23="","",IF(L23="","Score all six tests.",IF(K23="N","Fix access first. Define who may see this before AI can use it.",IF(M23="Ready to ground","Ready. AI can answer from this source.",IF(P23="","Name an owner and a repair date.",IF(Q23="","Set a repair date.","Repair, then score it again."))))))</f>
        <v/>
      </c>
      <c r="P23" s="44" t="n"/>
      <c r="Q23" s="48" t="n"/>
      <c r="R23" s="44" t="n"/>
      <c r="S23" s="47">
        <f>IF(OR(L23="",M23="Ready to ground"),"",IF(K23="N",100000,0)+IF(ISNUMBER(C23),C23,0)+(6-L23)/10)</f>
        <v/>
      </c>
    </row>
    <row r="24" ht="22.35" customHeight="1" s="31">
      <c r="A24" s="44" t="n">
        <v>20</v>
      </c>
      <c r="B24" s="44" t="inlineStr">
        <is>
          <t>How do I change my benefits outside open enrollment?</t>
        </is>
      </c>
      <c r="C24" s="44" t="n">
        <v>5</v>
      </c>
      <c r="D24" s="44" t="inlineStr">
        <is>
          <t>Benefits guide</t>
        </is>
      </c>
      <c r="E24" s="44" t="inlineStr">
        <is>
          <t>All employees</t>
        </is>
      </c>
      <c r="F24" s="45" t="inlineStr">
        <is>
          <t>Y</t>
        </is>
      </c>
      <c r="G24" s="45" t="inlineStr">
        <is>
          <t>Y</t>
        </is>
      </c>
      <c r="H24" s="45" t="inlineStr">
        <is>
          <t>Y</t>
        </is>
      </c>
      <c r="I24" s="45" t="inlineStr">
        <is>
          <t>N</t>
        </is>
      </c>
      <c r="J24" s="45" t="inlineStr">
        <is>
          <t>Y</t>
        </is>
      </c>
      <c r="K24" s="45" t="inlineStr">
        <is>
          <t>Y</t>
        </is>
      </c>
      <c r="L24" s="46">
        <f>IF(B24="","",IF(COUNTA(F24:K24)&lt;6,"",COUNTIF(F24:K24,"Y")))</f>
        <v/>
      </c>
      <c r="M24" s="46">
        <f>IF(OR(B24="",L24=""),"",IF(L24=6,"Ready to ground",IF(L24&gt;=4,"Repair","Standing risk")))</f>
        <v/>
      </c>
      <c r="N24" s="46">
        <f>IF(S24="","",RANK(S24,$S$5:$S$54,0))</f>
        <v/>
      </c>
      <c r="O24" s="47">
        <f>IF(B24="","",IF(L24="","Score all six tests.",IF(K24="N","Fix access first. Define who may see this before AI can use it.",IF(M24="Ready to ground","Ready. AI can answer from this source.",IF(P24="","Name an owner and a repair date.",IF(Q24="","Set a repair date.","Repair, then score it again."))))))</f>
        <v/>
      </c>
      <c r="P24" s="44" t="inlineStr">
        <is>
          <t>Benefits manager</t>
        </is>
      </c>
      <c r="Q24" s="48" t="n">
        <v>46433</v>
      </c>
      <c r="R24" s="44" t="n"/>
      <c r="S24" s="47">
        <f>IF(OR(L24="",M24="Ready to ground"),"",IF(K24="N",100000,0)+IF(ISNUMBER(C24),C24,0)+(6-L24)/10)</f>
        <v/>
      </c>
    </row>
    <row r="25" ht="15" customHeight="1" s="31">
      <c r="A25" s="44" t="n"/>
      <c r="B25" s="44" t="n"/>
      <c r="C25" s="44" t="n"/>
      <c r="D25" s="44" t="n"/>
      <c r="E25" s="44" t="n"/>
      <c r="F25" s="45" t="n"/>
      <c r="G25" s="45" t="n"/>
      <c r="H25" s="45" t="n"/>
      <c r="I25" s="45" t="n"/>
      <c r="J25" s="45" t="n"/>
      <c r="K25" s="45" t="n"/>
      <c r="L25" s="46">
        <f>IF(B25="","",IF(COUNTA(F25:K25)&lt;6,"",COUNTIF(F25:K25,"Y")))</f>
        <v/>
      </c>
      <c r="M25" s="46">
        <f>IF(OR(B25="",L25=""),"",IF(L25=6,"Ready to ground",IF(L25&gt;=4,"Repair","Standing risk")))</f>
        <v/>
      </c>
      <c r="N25" s="46">
        <f>IF(S25="","",RANK(S25,$S$5:$S$54,0))</f>
        <v/>
      </c>
      <c r="O25" s="47">
        <f>IF(B25="","",IF(L25="","Score all six tests.",IF(K25="N","Fix access first. Define who may see this before AI can use it.",IF(M25="Ready to ground","Ready. AI can answer from this source.",IF(P25="","Name an owner and a repair date.",IF(Q25="","Set a repair date.","Repair, then score it again."))))))</f>
        <v/>
      </c>
      <c r="P25" s="44" t="n"/>
      <c r="Q25" s="48" t="n"/>
      <c r="R25" s="44" t="n"/>
      <c r="S25" s="47">
        <f>IF(OR(L25="",M25="Ready to ground"),"",IF(K25="N",100000,0)+IF(ISNUMBER(C25),C25,0)+(6-L25)/10)</f>
        <v/>
      </c>
    </row>
    <row r="26" ht="15" customHeight="1" s="31">
      <c r="A26" s="44" t="n"/>
      <c r="B26" s="44" t="n"/>
      <c r="C26" s="44" t="n"/>
      <c r="D26" s="44" t="n"/>
      <c r="E26" s="44" t="n"/>
      <c r="F26" s="45" t="n"/>
      <c r="G26" s="45" t="n"/>
      <c r="H26" s="45" t="n"/>
      <c r="I26" s="45" t="n"/>
      <c r="J26" s="45" t="n"/>
      <c r="K26" s="45" t="n"/>
      <c r="L26" s="46">
        <f>IF(B26="","",IF(COUNTA(F26:K26)&lt;6,"",COUNTIF(F26:K26,"Y")))</f>
        <v/>
      </c>
      <c r="M26" s="46">
        <f>IF(OR(B26="",L26=""),"",IF(L26=6,"Ready to ground",IF(L26&gt;=4,"Repair","Standing risk")))</f>
        <v/>
      </c>
      <c r="N26" s="46">
        <f>IF(S26="","",RANK(S26,$S$5:$S$54,0))</f>
        <v/>
      </c>
      <c r="O26" s="47">
        <f>IF(B26="","",IF(L26="","Score all six tests.",IF(K26="N","Fix access first. Define who may see this before AI can use it.",IF(M26="Ready to ground","Ready. AI can answer from this source.",IF(P26="","Name an owner and a repair date.",IF(Q26="","Set a repair date.","Repair, then score it again."))))))</f>
        <v/>
      </c>
      <c r="P26" s="44" t="n"/>
      <c r="Q26" s="48" t="n"/>
      <c r="R26" s="44" t="n"/>
      <c r="S26" s="47">
        <f>IF(OR(L26="",M26="Ready to ground"),"",IF(K26="N",100000,0)+IF(ISNUMBER(C26),C26,0)+(6-L26)/10)</f>
        <v/>
      </c>
    </row>
    <row r="27" ht="15" customHeight="1" s="31">
      <c r="A27" s="44" t="n"/>
      <c r="B27" s="44" t="n"/>
      <c r="C27" s="44" t="n"/>
      <c r="D27" s="44" t="n"/>
      <c r="E27" s="44" t="n"/>
      <c r="F27" s="45" t="n"/>
      <c r="G27" s="45" t="n"/>
      <c r="H27" s="45" t="n"/>
      <c r="I27" s="45" t="n"/>
      <c r="J27" s="45" t="n"/>
      <c r="K27" s="45" t="n"/>
      <c r="L27" s="46">
        <f>IF(B27="","",IF(COUNTA(F27:K27)&lt;6,"",COUNTIF(F27:K27,"Y")))</f>
        <v/>
      </c>
      <c r="M27" s="46">
        <f>IF(OR(B27="",L27=""),"",IF(L27=6,"Ready to ground",IF(L27&gt;=4,"Repair","Standing risk")))</f>
        <v/>
      </c>
      <c r="N27" s="46">
        <f>IF(S27="","",RANK(S27,$S$5:$S$54,0))</f>
        <v/>
      </c>
      <c r="O27" s="47">
        <f>IF(B27="","",IF(L27="","Score all six tests.",IF(K27="N","Fix access first. Define who may see this before AI can use it.",IF(M27="Ready to ground","Ready. AI can answer from this source.",IF(P27="","Name an owner and a repair date.",IF(Q27="","Set a repair date.","Repair, then score it again."))))))</f>
        <v/>
      </c>
      <c r="P27" s="44" t="n"/>
      <c r="Q27" s="48" t="n"/>
      <c r="R27" s="44" t="n"/>
      <c r="S27" s="47">
        <f>IF(OR(L27="",M27="Ready to ground"),"",IF(K27="N",100000,0)+IF(ISNUMBER(C27),C27,0)+(6-L27)/10)</f>
        <v/>
      </c>
    </row>
    <row r="28" ht="15" customHeight="1" s="31">
      <c r="A28" s="44" t="n"/>
      <c r="B28" s="44" t="n"/>
      <c r="C28" s="44" t="n"/>
      <c r="D28" s="44" t="n"/>
      <c r="E28" s="44" t="n"/>
      <c r="F28" s="45" t="n"/>
      <c r="G28" s="45" t="n"/>
      <c r="H28" s="45" t="n"/>
      <c r="I28" s="45" t="n"/>
      <c r="J28" s="45" t="n"/>
      <c r="K28" s="45" t="n"/>
      <c r="L28" s="46">
        <f>IF(B28="","",IF(COUNTA(F28:K28)&lt;6,"",COUNTIF(F28:K28,"Y")))</f>
        <v/>
      </c>
      <c r="M28" s="46">
        <f>IF(OR(B28="",L28=""),"",IF(L28=6,"Ready to ground",IF(L28&gt;=4,"Repair","Standing risk")))</f>
        <v/>
      </c>
      <c r="N28" s="46">
        <f>IF(S28="","",RANK(S28,$S$5:$S$54,0))</f>
        <v/>
      </c>
      <c r="O28" s="47">
        <f>IF(B28="","",IF(L28="","Score all six tests.",IF(K28="N","Fix access first. Define who may see this before AI can use it.",IF(M28="Ready to ground","Ready. AI can answer from this source.",IF(P28="","Name an owner and a repair date.",IF(Q28="","Set a repair date.","Repair, then score it again."))))))</f>
        <v/>
      </c>
      <c r="P28" s="44" t="n"/>
      <c r="Q28" s="48" t="n"/>
      <c r="R28" s="44" t="n"/>
      <c r="S28" s="47">
        <f>IF(OR(L28="",M28="Ready to ground"),"",IF(K28="N",100000,0)+IF(ISNUMBER(C28),C28,0)+(6-L28)/10)</f>
        <v/>
      </c>
    </row>
    <row r="29" ht="15" customHeight="1" s="31">
      <c r="A29" s="44" t="n"/>
      <c r="B29" s="44" t="n"/>
      <c r="C29" s="44" t="n"/>
      <c r="D29" s="44" t="n"/>
      <c r="E29" s="44" t="n"/>
      <c r="F29" s="45" t="n"/>
      <c r="G29" s="45" t="n"/>
      <c r="H29" s="45" t="n"/>
      <c r="I29" s="45" t="n"/>
      <c r="J29" s="45" t="n"/>
      <c r="K29" s="45" t="n"/>
      <c r="L29" s="46">
        <f>IF(B29="","",IF(COUNTA(F29:K29)&lt;6,"",COUNTIF(F29:K29,"Y")))</f>
        <v/>
      </c>
      <c r="M29" s="46">
        <f>IF(OR(B29="",L29=""),"",IF(L29=6,"Ready to ground",IF(L29&gt;=4,"Repair","Standing risk")))</f>
        <v/>
      </c>
      <c r="N29" s="46">
        <f>IF(S29="","",RANK(S29,$S$5:$S$54,0))</f>
        <v/>
      </c>
      <c r="O29" s="47">
        <f>IF(B29="","",IF(L29="","Score all six tests.",IF(K29="N","Fix access first. Define who may see this before AI can use it.",IF(M29="Ready to ground","Ready. AI can answer from this source.",IF(P29="","Name an owner and a repair date.",IF(Q29="","Set a repair date.","Repair, then score it again."))))))</f>
        <v/>
      </c>
      <c r="P29" s="44" t="n"/>
      <c r="Q29" s="48" t="n"/>
      <c r="R29" s="44" t="n"/>
      <c r="S29" s="47">
        <f>IF(OR(L29="",M29="Ready to ground"),"",IF(K29="N",100000,0)+IF(ISNUMBER(C29),C29,0)+(6-L29)/10)</f>
        <v/>
      </c>
    </row>
    <row r="30" ht="15" customHeight="1" s="31">
      <c r="A30" s="44" t="n"/>
      <c r="B30" s="44" t="n"/>
      <c r="C30" s="44" t="n"/>
      <c r="D30" s="44" t="n"/>
      <c r="E30" s="44" t="n"/>
      <c r="F30" s="45" t="n"/>
      <c r="G30" s="45" t="n"/>
      <c r="H30" s="45" t="n"/>
      <c r="I30" s="45" t="n"/>
      <c r="J30" s="45" t="n"/>
      <c r="K30" s="45" t="n"/>
      <c r="L30" s="46">
        <f>IF(B30="","",IF(COUNTA(F30:K30)&lt;6,"",COUNTIF(F30:K30,"Y")))</f>
        <v/>
      </c>
      <c r="M30" s="46">
        <f>IF(OR(B30="",L30=""),"",IF(L30=6,"Ready to ground",IF(L30&gt;=4,"Repair","Standing risk")))</f>
        <v/>
      </c>
      <c r="N30" s="46">
        <f>IF(S30="","",RANK(S30,$S$5:$S$54,0))</f>
        <v/>
      </c>
      <c r="O30" s="47">
        <f>IF(B30="","",IF(L30="","Score all six tests.",IF(K30="N","Fix access first. Define who may see this before AI can use it.",IF(M30="Ready to ground","Ready. AI can answer from this source.",IF(P30="","Name an owner and a repair date.",IF(Q30="","Set a repair date.","Repair, then score it again."))))))</f>
        <v/>
      </c>
      <c r="P30" s="44" t="n"/>
      <c r="Q30" s="48" t="n"/>
      <c r="R30" s="44" t="n"/>
      <c r="S30" s="47">
        <f>IF(OR(L30="",M30="Ready to ground"),"",IF(K30="N",100000,0)+IF(ISNUMBER(C30),C30,0)+(6-L30)/10)</f>
        <v/>
      </c>
    </row>
    <row r="31" ht="15" customHeight="1" s="31">
      <c r="A31" s="44" t="n"/>
      <c r="B31" s="44" t="n"/>
      <c r="C31" s="44" t="n"/>
      <c r="D31" s="44" t="n"/>
      <c r="E31" s="44" t="n"/>
      <c r="F31" s="45" t="n"/>
      <c r="G31" s="45" t="n"/>
      <c r="H31" s="45" t="n"/>
      <c r="I31" s="45" t="n"/>
      <c r="J31" s="45" t="n"/>
      <c r="K31" s="45" t="n"/>
      <c r="L31" s="46">
        <f>IF(B31="","",IF(COUNTA(F31:K31)&lt;6,"",COUNTIF(F31:K31,"Y")))</f>
        <v/>
      </c>
      <c r="M31" s="46">
        <f>IF(OR(B31="",L31=""),"",IF(L31=6,"Ready to ground",IF(L31&gt;=4,"Repair","Standing risk")))</f>
        <v/>
      </c>
      <c r="N31" s="46">
        <f>IF(S31="","",RANK(S31,$S$5:$S$54,0))</f>
        <v/>
      </c>
      <c r="O31" s="47">
        <f>IF(B31="","",IF(L31="","Score all six tests.",IF(K31="N","Fix access first. Define who may see this before AI can use it.",IF(M31="Ready to ground","Ready. AI can answer from this source.",IF(P31="","Name an owner and a repair date.",IF(Q31="","Set a repair date.","Repair, then score it again."))))))</f>
        <v/>
      </c>
      <c r="P31" s="44" t="n"/>
      <c r="Q31" s="48" t="n"/>
      <c r="R31" s="44" t="n"/>
      <c r="S31" s="47">
        <f>IF(OR(L31="",M31="Ready to ground"),"",IF(K31="N",100000,0)+IF(ISNUMBER(C31),C31,0)+(6-L31)/10)</f>
        <v/>
      </c>
    </row>
    <row r="32" ht="15" customHeight="1" s="31">
      <c r="A32" s="44" t="n"/>
      <c r="B32" s="44" t="n"/>
      <c r="C32" s="44" t="n"/>
      <c r="D32" s="44" t="n"/>
      <c r="E32" s="44" t="n"/>
      <c r="F32" s="45" t="n"/>
      <c r="G32" s="45" t="n"/>
      <c r="H32" s="45" t="n"/>
      <c r="I32" s="45" t="n"/>
      <c r="J32" s="45" t="n"/>
      <c r="K32" s="45" t="n"/>
      <c r="L32" s="46">
        <f>IF(B32="","",IF(COUNTA(F32:K32)&lt;6,"",COUNTIF(F32:K32,"Y")))</f>
        <v/>
      </c>
      <c r="M32" s="46">
        <f>IF(OR(B32="",L32=""),"",IF(L32=6,"Ready to ground",IF(L32&gt;=4,"Repair","Standing risk")))</f>
        <v/>
      </c>
      <c r="N32" s="46">
        <f>IF(S32="","",RANK(S32,$S$5:$S$54,0))</f>
        <v/>
      </c>
      <c r="O32" s="47">
        <f>IF(B32="","",IF(L32="","Score all six tests.",IF(K32="N","Fix access first. Define who may see this before AI can use it.",IF(M32="Ready to ground","Ready. AI can answer from this source.",IF(P32="","Name an owner and a repair date.",IF(Q32="","Set a repair date.","Repair, then score it again."))))))</f>
        <v/>
      </c>
      <c r="P32" s="44" t="n"/>
      <c r="Q32" s="48" t="n"/>
      <c r="R32" s="44" t="n"/>
      <c r="S32" s="47">
        <f>IF(OR(L32="",M32="Ready to ground"),"",IF(K32="N",100000,0)+IF(ISNUMBER(C32),C32,0)+(6-L32)/10)</f>
        <v/>
      </c>
    </row>
    <row r="33" ht="15" customHeight="1" s="31">
      <c r="A33" s="44" t="n"/>
      <c r="B33" s="44" t="n"/>
      <c r="C33" s="44" t="n"/>
      <c r="D33" s="44" t="n"/>
      <c r="E33" s="44" t="n"/>
      <c r="F33" s="45" t="n"/>
      <c r="G33" s="45" t="n"/>
      <c r="H33" s="45" t="n"/>
      <c r="I33" s="45" t="n"/>
      <c r="J33" s="45" t="n"/>
      <c r="K33" s="45" t="n"/>
      <c r="L33" s="46">
        <f>IF(B33="","",IF(COUNTA(F33:K33)&lt;6,"",COUNTIF(F33:K33,"Y")))</f>
        <v/>
      </c>
      <c r="M33" s="46">
        <f>IF(OR(B33="",L33=""),"",IF(L33=6,"Ready to ground",IF(L33&gt;=4,"Repair","Standing risk")))</f>
        <v/>
      </c>
      <c r="N33" s="46">
        <f>IF(S33="","",RANK(S33,$S$5:$S$54,0))</f>
        <v/>
      </c>
      <c r="O33" s="47">
        <f>IF(B33="","",IF(L33="","Score all six tests.",IF(K33="N","Fix access first. Define who may see this before AI can use it.",IF(M33="Ready to ground","Ready. AI can answer from this source.",IF(P33="","Name an owner and a repair date.",IF(Q33="","Set a repair date.","Repair, then score it again."))))))</f>
        <v/>
      </c>
      <c r="P33" s="44" t="n"/>
      <c r="Q33" s="48" t="n"/>
      <c r="R33" s="44" t="n"/>
      <c r="S33" s="47">
        <f>IF(OR(L33="",M33="Ready to ground"),"",IF(K33="N",100000,0)+IF(ISNUMBER(C33),C33,0)+(6-L33)/10)</f>
        <v/>
      </c>
    </row>
    <row r="34" ht="15" customHeight="1" s="31">
      <c r="A34" s="44" t="n"/>
      <c r="B34" s="44" t="n"/>
      <c r="C34" s="44" t="n"/>
      <c r="D34" s="44" t="n"/>
      <c r="E34" s="44" t="n"/>
      <c r="F34" s="45" t="n"/>
      <c r="G34" s="45" t="n"/>
      <c r="H34" s="45" t="n"/>
      <c r="I34" s="45" t="n"/>
      <c r="J34" s="45" t="n"/>
      <c r="K34" s="45" t="n"/>
      <c r="L34" s="46">
        <f>IF(B34="","",IF(COUNTA(F34:K34)&lt;6,"",COUNTIF(F34:K34,"Y")))</f>
        <v/>
      </c>
      <c r="M34" s="46">
        <f>IF(OR(B34="",L34=""),"",IF(L34=6,"Ready to ground",IF(L34&gt;=4,"Repair","Standing risk")))</f>
        <v/>
      </c>
      <c r="N34" s="46">
        <f>IF(S34="","",RANK(S34,$S$5:$S$54,0))</f>
        <v/>
      </c>
      <c r="O34" s="47">
        <f>IF(B34="","",IF(L34="","Score all six tests.",IF(K34="N","Fix access first. Define who may see this before AI can use it.",IF(M34="Ready to ground","Ready. AI can answer from this source.",IF(P34="","Name an owner and a repair date.",IF(Q34="","Set a repair date.","Repair, then score it again."))))))</f>
        <v/>
      </c>
      <c r="P34" s="44" t="n"/>
      <c r="Q34" s="48" t="n"/>
      <c r="R34" s="44" t="n"/>
      <c r="S34" s="47">
        <f>IF(OR(L34="",M34="Ready to ground"),"",IF(K34="N",100000,0)+IF(ISNUMBER(C34),C34,0)+(6-L34)/10)</f>
        <v/>
      </c>
    </row>
    <row r="35" ht="15" customHeight="1" s="31">
      <c r="A35" s="44" t="n"/>
      <c r="B35" s="44" t="n"/>
      <c r="C35" s="44" t="n"/>
      <c r="D35" s="44" t="n"/>
      <c r="E35" s="44" t="n"/>
      <c r="F35" s="45" t="n"/>
      <c r="G35" s="45" t="n"/>
      <c r="H35" s="45" t="n"/>
      <c r="I35" s="45" t="n"/>
      <c r="J35" s="45" t="n"/>
      <c r="K35" s="45" t="n"/>
      <c r="L35" s="46">
        <f>IF(B35="","",IF(COUNTA(F35:K35)&lt;6,"",COUNTIF(F35:K35,"Y")))</f>
        <v/>
      </c>
      <c r="M35" s="46">
        <f>IF(OR(B35="",L35=""),"",IF(L35=6,"Ready to ground",IF(L35&gt;=4,"Repair","Standing risk")))</f>
        <v/>
      </c>
      <c r="N35" s="46">
        <f>IF(S35="","",RANK(S35,$S$5:$S$54,0))</f>
        <v/>
      </c>
      <c r="O35" s="47">
        <f>IF(B35="","",IF(L35="","Score all six tests.",IF(K35="N","Fix access first. Define who may see this before AI can use it.",IF(M35="Ready to ground","Ready. AI can answer from this source.",IF(P35="","Name an owner and a repair date.",IF(Q35="","Set a repair date.","Repair, then score it again."))))))</f>
        <v/>
      </c>
      <c r="P35" s="44" t="n"/>
      <c r="Q35" s="48" t="n"/>
      <c r="R35" s="44" t="n"/>
      <c r="S35" s="47">
        <f>IF(OR(L35="",M35="Ready to ground"),"",IF(K35="N",100000,0)+IF(ISNUMBER(C35),C35,0)+(6-L35)/10)</f>
        <v/>
      </c>
    </row>
    <row r="36" ht="15" customHeight="1" s="31">
      <c r="A36" s="44" t="n"/>
      <c r="B36" s="44" t="n"/>
      <c r="C36" s="44" t="n"/>
      <c r="D36" s="44" t="n"/>
      <c r="E36" s="44" t="n"/>
      <c r="F36" s="45" t="n"/>
      <c r="G36" s="45" t="n"/>
      <c r="H36" s="45" t="n"/>
      <c r="I36" s="45" t="n"/>
      <c r="J36" s="45" t="n"/>
      <c r="K36" s="45" t="n"/>
      <c r="L36" s="46">
        <f>IF(B36="","",IF(COUNTA(F36:K36)&lt;6,"",COUNTIF(F36:K36,"Y")))</f>
        <v/>
      </c>
      <c r="M36" s="46">
        <f>IF(OR(B36="",L36=""),"",IF(L36=6,"Ready to ground",IF(L36&gt;=4,"Repair","Standing risk")))</f>
        <v/>
      </c>
      <c r="N36" s="46">
        <f>IF(S36="","",RANK(S36,$S$5:$S$54,0))</f>
        <v/>
      </c>
      <c r="O36" s="47">
        <f>IF(B36="","",IF(L36="","Score all six tests.",IF(K36="N","Fix access first. Define who may see this before AI can use it.",IF(M36="Ready to ground","Ready. AI can answer from this source.",IF(P36="","Name an owner and a repair date.",IF(Q36="","Set a repair date.","Repair, then score it again."))))))</f>
        <v/>
      </c>
      <c r="P36" s="44" t="n"/>
      <c r="Q36" s="48" t="n"/>
      <c r="R36" s="44" t="n"/>
      <c r="S36" s="47">
        <f>IF(OR(L36="",M36="Ready to ground"),"",IF(K36="N",100000,0)+IF(ISNUMBER(C36),C36,0)+(6-L36)/10)</f>
        <v/>
      </c>
    </row>
    <row r="37" ht="15" customHeight="1" s="31">
      <c r="A37" s="44" t="n"/>
      <c r="B37" s="44" t="n"/>
      <c r="C37" s="44" t="n"/>
      <c r="D37" s="44" t="n"/>
      <c r="E37" s="44" t="n"/>
      <c r="F37" s="45" t="n"/>
      <c r="G37" s="45" t="n"/>
      <c r="H37" s="45" t="n"/>
      <c r="I37" s="45" t="n"/>
      <c r="J37" s="45" t="n"/>
      <c r="K37" s="45" t="n"/>
      <c r="L37" s="46">
        <f>IF(B37="","",IF(COUNTA(F37:K37)&lt;6,"",COUNTIF(F37:K37,"Y")))</f>
        <v/>
      </c>
      <c r="M37" s="46">
        <f>IF(OR(B37="",L37=""),"",IF(L37=6,"Ready to ground",IF(L37&gt;=4,"Repair","Standing risk")))</f>
        <v/>
      </c>
      <c r="N37" s="46">
        <f>IF(S37="","",RANK(S37,$S$5:$S$54,0))</f>
        <v/>
      </c>
      <c r="O37" s="47">
        <f>IF(B37="","",IF(L37="","Score all six tests.",IF(K37="N","Fix access first. Define who may see this before AI can use it.",IF(M37="Ready to ground","Ready. AI can answer from this source.",IF(P37="","Name an owner and a repair date.",IF(Q37="","Set a repair date.","Repair, then score it again."))))))</f>
        <v/>
      </c>
      <c r="P37" s="44" t="n"/>
      <c r="Q37" s="48" t="n"/>
      <c r="R37" s="44" t="n"/>
      <c r="S37" s="47">
        <f>IF(OR(L37="",M37="Ready to ground"),"",IF(K37="N",100000,0)+IF(ISNUMBER(C37),C37,0)+(6-L37)/10)</f>
        <v/>
      </c>
    </row>
    <row r="38" ht="15" customHeight="1" s="31">
      <c r="A38" s="44" t="n"/>
      <c r="B38" s="44" t="n"/>
      <c r="C38" s="44" t="n"/>
      <c r="D38" s="44" t="n"/>
      <c r="E38" s="44" t="n"/>
      <c r="F38" s="45" t="n"/>
      <c r="G38" s="45" t="n"/>
      <c r="H38" s="45" t="n"/>
      <c r="I38" s="45" t="n"/>
      <c r="J38" s="45" t="n"/>
      <c r="K38" s="45" t="n"/>
      <c r="L38" s="46">
        <f>IF(B38="","",IF(COUNTA(F38:K38)&lt;6,"",COUNTIF(F38:K38,"Y")))</f>
        <v/>
      </c>
      <c r="M38" s="46">
        <f>IF(OR(B38="",L38=""),"",IF(L38=6,"Ready to ground",IF(L38&gt;=4,"Repair","Standing risk")))</f>
        <v/>
      </c>
      <c r="N38" s="46">
        <f>IF(S38="","",RANK(S38,$S$5:$S$54,0))</f>
        <v/>
      </c>
      <c r="O38" s="47">
        <f>IF(B38="","",IF(L38="","Score all six tests.",IF(K38="N","Fix access first. Define who may see this before AI can use it.",IF(M38="Ready to ground","Ready. AI can answer from this source.",IF(P38="","Name an owner and a repair date.",IF(Q38="","Set a repair date.","Repair, then score it again."))))))</f>
        <v/>
      </c>
      <c r="P38" s="44" t="n"/>
      <c r="Q38" s="48" t="n"/>
      <c r="R38" s="44" t="n"/>
      <c r="S38" s="47">
        <f>IF(OR(L38="",M38="Ready to ground"),"",IF(K38="N",100000,0)+IF(ISNUMBER(C38),C38,0)+(6-L38)/10)</f>
        <v/>
      </c>
    </row>
    <row r="39" ht="15" customHeight="1" s="31">
      <c r="A39" s="44" t="n"/>
      <c r="B39" s="44" t="n"/>
      <c r="C39" s="44" t="n"/>
      <c r="D39" s="44" t="n"/>
      <c r="E39" s="44" t="n"/>
      <c r="F39" s="45" t="n"/>
      <c r="G39" s="45" t="n"/>
      <c r="H39" s="45" t="n"/>
      <c r="I39" s="45" t="n"/>
      <c r="J39" s="45" t="n"/>
      <c r="K39" s="45" t="n"/>
      <c r="L39" s="46">
        <f>IF(B39="","",IF(COUNTA(F39:K39)&lt;6,"",COUNTIF(F39:K39,"Y")))</f>
        <v/>
      </c>
      <c r="M39" s="46">
        <f>IF(OR(B39="",L39=""),"",IF(L39=6,"Ready to ground",IF(L39&gt;=4,"Repair","Standing risk")))</f>
        <v/>
      </c>
      <c r="N39" s="46">
        <f>IF(S39="","",RANK(S39,$S$5:$S$54,0))</f>
        <v/>
      </c>
      <c r="O39" s="47">
        <f>IF(B39="","",IF(L39="","Score all six tests.",IF(K39="N","Fix access first. Define who may see this before AI can use it.",IF(M39="Ready to ground","Ready. AI can answer from this source.",IF(P39="","Name an owner and a repair date.",IF(Q39="","Set a repair date.","Repair, then score it again."))))))</f>
        <v/>
      </c>
      <c r="P39" s="44" t="n"/>
      <c r="Q39" s="48" t="n"/>
      <c r="R39" s="44" t="n"/>
      <c r="S39" s="47">
        <f>IF(OR(L39="",M39="Ready to ground"),"",IF(K39="N",100000,0)+IF(ISNUMBER(C39),C39,0)+(6-L39)/10)</f>
        <v/>
      </c>
    </row>
    <row r="40" ht="15" customHeight="1" s="31">
      <c r="A40" s="44" t="n"/>
      <c r="B40" s="44" t="n"/>
      <c r="C40" s="44" t="n"/>
      <c r="D40" s="44" t="n"/>
      <c r="E40" s="44" t="n"/>
      <c r="F40" s="45" t="n"/>
      <c r="G40" s="45" t="n"/>
      <c r="H40" s="45" t="n"/>
      <c r="I40" s="45" t="n"/>
      <c r="J40" s="45" t="n"/>
      <c r="K40" s="45" t="n"/>
      <c r="L40" s="46">
        <f>IF(B40="","",IF(COUNTA(F40:K40)&lt;6,"",COUNTIF(F40:K40,"Y")))</f>
        <v/>
      </c>
      <c r="M40" s="46">
        <f>IF(OR(B40="",L40=""),"",IF(L40=6,"Ready to ground",IF(L40&gt;=4,"Repair","Standing risk")))</f>
        <v/>
      </c>
      <c r="N40" s="46">
        <f>IF(S40="","",RANK(S40,$S$5:$S$54,0))</f>
        <v/>
      </c>
      <c r="O40" s="47">
        <f>IF(B40="","",IF(L40="","Score all six tests.",IF(K40="N","Fix access first. Define who may see this before AI can use it.",IF(M40="Ready to ground","Ready. AI can answer from this source.",IF(P40="","Name an owner and a repair date.",IF(Q40="","Set a repair date.","Repair, then score it again."))))))</f>
        <v/>
      </c>
      <c r="P40" s="44" t="n"/>
      <c r="Q40" s="48" t="n"/>
      <c r="R40" s="44" t="n"/>
      <c r="S40" s="47">
        <f>IF(OR(L40="",M40="Ready to ground"),"",IF(K40="N",100000,0)+IF(ISNUMBER(C40),C40,0)+(6-L40)/10)</f>
        <v/>
      </c>
    </row>
    <row r="41" ht="15" customHeight="1" s="31">
      <c r="A41" s="44" t="n"/>
      <c r="B41" s="44" t="n"/>
      <c r="C41" s="44" t="n"/>
      <c r="D41" s="44" t="n"/>
      <c r="E41" s="44" t="n"/>
      <c r="F41" s="45" t="n"/>
      <c r="G41" s="45" t="n"/>
      <c r="H41" s="45" t="n"/>
      <c r="I41" s="45" t="n"/>
      <c r="J41" s="45" t="n"/>
      <c r="K41" s="45" t="n"/>
      <c r="L41" s="46">
        <f>IF(B41="","",IF(COUNTA(F41:K41)&lt;6,"",COUNTIF(F41:K41,"Y")))</f>
        <v/>
      </c>
      <c r="M41" s="46">
        <f>IF(OR(B41="",L41=""),"",IF(L41=6,"Ready to ground",IF(L41&gt;=4,"Repair","Standing risk")))</f>
        <v/>
      </c>
      <c r="N41" s="46">
        <f>IF(S41="","",RANK(S41,$S$5:$S$54,0))</f>
        <v/>
      </c>
      <c r="O41" s="47">
        <f>IF(B41="","",IF(L41="","Score all six tests.",IF(K41="N","Fix access first. Define who may see this before AI can use it.",IF(M41="Ready to ground","Ready. AI can answer from this source.",IF(P41="","Name an owner and a repair date.",IF(Q41="","Set a repair date.","Repair, then score it again."))))))</f>
        <v/>
      </c>
      <c r="P41" s="44" t="n"/>
      <c r="Q41" s="48" t="n"/>
      <c r="R41" s="44" t="n"/>
      <c r="S41" s="47">
        <f>IF(OR(L41="",M41="Ready to ground"),"",IF(K41="N",100000,0)+IF(ISNUMBER(C41),C41,0)+(6-L41)/10)</f>
        <v/>
      </c>
    </row>
    <row r="42" ht="15" customHeight="1" s="31">
      <c r="A42" s="44" t="n"/>
      <c r="B42" s="44" t="n"/>
      <c r="C42" s="44" t="n"/>
      <c r="D42" s="44" t="n"/>
      <c r="E42" s="44" t="n"/>
      <c r="F42" s="45" t="n"/>
      <c r="G42" s="45" t="n"/>
      <c r="H42" s="45" t="n"/>
      <c r="I42" s="45" t="n"/>
      <c r="J42" s="45" t="n"/>
      <c r="K42" s="45" t="n"/>
      <c r="L42" s="46">
        <f>IF(B42="","",IF(COUNTA(F42:K42)&lt;6,"",COUNTIF(F42:K42,"Y")))</f>
        <v/>
      </c>
      <c r="M42" s="46">
        <f>IF(OR(B42="",L42=""),"",IF(L42=6,"Ready to ground",IF(L42&gt;=4,"Repair","Standing risk")))</f>
        <v/>
      </c>
      <c r="N42" s="46">
        <f>IF(S42="","",RANK(S42,$S$5:$S$54,0))</f>
        <v/>
      </c>
      <c r="O42" s="47">
        <f>IF(B42="","",IF(L42="","Score all six tests.",IF(K42="N","Fix access first. Define who may see this before AI can use it.",IF(M42="Ready to ground","Ready. AI can answer from this source.",IF(P42="","Name an owner and a repair date.",IF(Q42="","Set a repair date.","Repair, then score it again."))))))</f>
        <v/>
      </c>
      <c r="P42" s="44" t="n"/>
      <c r="Q42" s="48" t="n"/>
      <c r="R42" s="44" t="n"/>
      <c r="S42" s="47">
        <f>IF(OR(L42="",M42="Ready to ground"),"",IF(K42="N",100000,0)+IF(ISNUMBER(C42),C42,0)+(6-L42)/10)</f>
        <v/>
      </c>
    </row>
    <row r="43" ht="15" customHeight="1" s="31">
      <c r="A43" s="44" t="n"/>
      <c r="B43" s="44" t="n"/>
      <c r="C43" s="44" t="n"/>
      <c r="D43" s="44" t="n"/>
      <c r="E43" s="44" t="n"/>
      <c r="F43" s="45" t="n"/>
      <c r="G43" s="45" t="n"/>
      <c r="H43" s="45" t="n"/>
      <c r="I43" s="45" t="n"/>
      <c r="J43" s="45" t="n"/>
      <c r="K43" s="45" t="n"/>
      <c r="L43" s="46">
        <f>IF(B43="","",IF(COUNTA(F43:K43)&lt;6,"",COUNTIF(F43:K43,"Y")))</f>
        <v/>
      </c>
      <c r="M43" s="46">
        <f>IF(OR(B43="",L43=""),"",IF(L43=6,"Ready to ground",IF(L43&gt;=4,"Repair","Standing risk")))</f>
        <v/>
      </c>
      <c r="N43" s="46">
        <f>IF(S43="","",RANK(S43,$S$5:$S$54,0))</f>
        <v/>
      </c>
      <c r="O43" s="47">
        <f>IF(B43="","",IF(L43="","Score all six tests.",IF(K43="N","Fix access first. Define who may see this before AI can use it.",IF(M43="Ready to ground","Ready. AI can answer from this source.",IF(P43="","Name an owner and a repair date.",IF(Q43="","Set a repair date.","Repair, then score it again."))))))</f>
        <v/>
      </c>
      <c r="P43" s="44" t="n"/>
      <c r="Q43" s="48" t="n"/>
      <c r="R43" s="44" t="n"/>
      <c r="S43" s="47">
        <f>IF(OR(L43="",M43="Ready to ground"),"",IF(K43="N",100000,0)+IF(ISNUMBER(C43),C43,0)+(6-L43)/10)</f>
        <v/>
      </c>
    </row>
    <row r="44" ht="15" customHeight="1" s="31">
      <c r="A44" s="44" t="n"/>
      <c r="B44" s="44" t="n"/>
      <c r="C44" s="44" t="n"/>
      <c r="D44" s="44" t="n"/>
      <c r="E44" s="44" t="n"/>
      <c r="F44" s="45" t="n"/>
      <c r="G44" s="45" t="n"/>
      <c r="H44" s="45" t="n"/>
      <c r="I44" s="45" t="n"/>
      <c r="J44" s="45" t="n"/>
      <c r="K44" s="45" t="n"/>
      <c r="L44" s="46">
        <f>IF(B44="","",IF(COUNTA(F44:K44)&lt;6,"",COUNTIF(F44:K44,"Y")))</f>
        <v/>
      </c>
      <c r="M44" s="46">
        <f>IF(OR(B44="",L44=""),"",IF(L44=6,"Ready to ground",IF(L44&gt;=4,"Repair","Standing risk")))</f>
        <v/>
      </c>
      <c r="N44" s="46">
        <f>IF(S44="","",RANK(S44,$S$5:$S$54,0))</f>
        <v/>
      </c>
      <c r="O44" s="47">
        <f>IF(B44="","",IF(L44="","Score all six tests.",IF(K44="N","Fix access first. Define who may see this before AI can use it.",IF(M44="Ready to ground","Ready. AI can answer from this source.",IF(P44="","Name an owner and a repair date.",IF(Q44="","Set a repair date.","Repair, then score it again."))))))</f>
        <v/>
      </c>
      <c r="P44" s="44" t="n"/>
      <c r="Q44" s="48" t="n"/>
      <c r="R44" s="44" t="n"/>
      <c r="S44" s="47">
        <f>IF(OR(L44="",M44="Ready to ground"),"",IF(K44="N",100000,0)+IF(ISNUMBER(C44),C44,0)+(6-L44)/10)</f>
        <v/>
      </c>
    </row>
    <row r="45" ht="15" customHeight="1" s="31">
      <c r="A45" s="44" t="n"/>
      <c r="B45" s="44" t="n"/>
      <c r="C45" s="44" t="n"/>
      <c r="D45" s="44" t="n"/>
      <c r="E45" s="44" t="n"/>
      <c r="F45" s="45" t="n"/>
      <c r="G45" s="45" t="n"/>
      <c r="H45" s="45" t="n"/>
      <c r="I45" s="45" t="n"/>
      <c r="J45" s="45" t="n"/>
      <c r="K45" s="45" t="n"/>
      <c r="L45" s="46">
        <f>IF(B45="","",IF(COUNTA(F45:K45)&lt;6,"",COUNTIF(F45:K45,"Y")))</f>
        <v/>
      </c>
      <c r="M45" s="46">
        <f>IF(OR(B45="",L45=""),"",IF(L45=6,"Ready to ground",IF(L45&gt;=4,"Repair","Standing risk")))</f>
        <v/>
      </c>
      <c r="N45" s="46">
        <f>IF(S45="","",RANK(S45,$S$5:$S$54,0))</f>
        <v/>
      </c>
      <c r="O45" s="47">
        <f>IF(B45="","",IF(L45="","Score all six tests.",IF(K45="N","Fix access first. Define who may see this before AI can use it.",IF(M45="Ready to ground","Ready. AI can answer from this source.",IF(P45="","Name an owner and a repair date.",IF(Q45="","Set a repair date.","Repair, then score it again."))))))</f>
        <v/>
      </c>
      <c r="P45" s="44" t="n"/>
      <c r="Q45" s="48" t="n"/>
      <c r="R45" s="44" t="n"/>
      <c r="S45" s="47">
        <f>IF(OR(L45="",M45="Ready to ground"),"",IF(K45="N",100000,0)+IF(ISNUMBER(C45),C45,0)+(6-L45)/10)</f>
        <v/>
      </c>
    </row>
    <row r="46" ht="15" customHeight="1" s="31">
      <c r="A46" s="44" t="n"/>
      <c r="B46" s="44" t="n"/>
      <c r="C46" s="44" t="n"/>
      <c r="D46" s="44" t="n"/>
      <c r="E46" s="44" t="n"/>
      <c r="F46" s="45" t="n"/>
      <c r="G46" s="45" t="n"/>
      <c r="H46" s="45" t="n"/>
      <c r="I46" s="45" t="n"/>
      <c r="J46" s="45" t="n"/>
      <c r="K46" s="45" t="n"/>
      <c r="L46" s="46">
        <f>IF(B46="","",IF(COUNTA(F46:K46)&lt;6,"",COUNTIF(F46:K46,"Y")))</f>
        <v/>
      </c>
      <c r="M46" s="46">
        <f>IF(OR(B46="",L46=""),"",IF(L46=6,"Ready to ground",IF(L46&gt;=4,"Repair","Standing risk")))</f>
        <v/>
      </c>
      <c r="N46" s="46">
        <f>IF(S46="","",RANK(S46,$S$5:$S$54,0))</f>
        <v/>
      </c>
      <c r="O46" s="47">
        <f>IF(B46="","",IF(L46="","Score all six tests.",IF(K46="N","Fix access first. Define who may see this before AI can use it.",IF(M46="Ready to ground","Ready. AI can answer from this source.",IF(P46="","Name an owner and a repair date.",IF(Q46="","Set a repair date.","Repair, then score it again."))))))</f>
        <v/>
      </c>
      <c r="P46" s="44" t="n"/>
      <c r="Q46" s="48" t="n"/>
      <c r="R46" s="44" t="n"/>
      <c r="S46" s="47">
        <f>IF(OR(L46="",M46="Ready to ground"),"",IF(K46="N",100000,0)+IF(ISNUMBER(C46),C46,0)+(6-L46)/10)</f>
        <v/>
      </c>
    </row>
    <row r="47" ht="15" customHeight="1" s="31">
      <c r="A47" s="44" t="n"/>
      <c r="B47" s="44" t="n"/>
      <c r="C47" s="44" t="n"/>
      <c r="D47" s="44" t="n"/>
      <c r="E47" s="44" t="n"/>
      <c r="F47" s="45" t="n"/>
      <c r="G47" s="45" t="n"/>
      <c r="H47" s="45" t="n"/>
      <c r="I47" s="45" t="n"/>
      <c r="J47" s="45" t="n"/>
      <c r="K47" s="45" t="n"/>
      <c r="L47" s="46">
        <f>IF(B47="","",IF(COUNTA(F47:K47)&lt;6,"",COUNTIF(F47:K47,"Y")))</f>
        <v/>
      </c>
      <c r="M47" s="46">
        <f>IF(OR(B47="",L47=""),"",IF(L47=6,"Ready to ground",IF(L47&gt;=4,"Repair","Standing risk")))</f>
        <v/>
      </c>
      <c r="N47" s="46">
        <f>IF(S47="","",RANK(S47,$S$5:$S$54,0))</f>
        <v/>
      </c>
      <c r="O47" s="47">
        <f>IF(B47="","",IF(L47="","Score all six tests.",IF(K47="N","Fix access first. Define who may see this before AI can use it.",IF(M47="Ready to ground","Ready. AI can answer from this source.",IF(P47="","Name an owner and a repair date.",IF(Q47="","Set a repair date.","Repair, then score it again."))))))</f>
        <v/>
      </c>
      <c r="P47" s="44" t="n"/>
      <c r="Q47" s="48" t="n"/>
      <c r="R47" s="44" t="n"/>
      <c r="S47" s="47">
        <f>IF(OR(L47="",M47="Ready to ground"),"",IF(K47="N",100000,0)+IF(ISNUMBER(C47),C47,0)+(6-L47)/10)</f>
        <v/>
      </c>
    </row>
    <row r="48" ht="15" customHeight="1" s="31">
      <c r="A48" s="44" t="n"/>
      <c r="B48" s="44" t="n"/>
      <c r="C48" s="44" t="n"/>
      <c r="D48" s="44" t="n"/>
      <c r="E48" s="44" t="n"/>
      <c r="F48" s="45" t="n"/>
      <c r="G48" s="45" t="n"/>
      <c r="H48" s="45" t="n"/>
      <c r="I48" s="45" t="n"/>
      <c r="J48" s="45" t="n"/>
      <c r="K48" s="45" t="n"/>
      <c r="L48" s="46">
        <f>IF(B48="","",IF(COUNTA(F48:K48)&lt;6,"",COUNTIF(F48:K48,"Y")))</f>
        <v/>
      </c>
      <c r="M48" s="46">
        <f>IF(OR(B48="",L48=""),"",IF(L48=6,"Ready to ground",IF(L48&gt;=4,"Repair","Standing risk")))</f>
        <v/>
      </c>
      <c r="N48" s="46">
        <f>IF(S48="","",RANK(S48,$S$5:$S$54,0))</f>
        <v/>
      </c>
      <c r="O48" s="47">
        <f>IF(B48="","",IF(L48="","Score all six tests.",IF(K48="N","Fix access first. Define who may see this before AI can use it.",IF(M48="Ready to ground","Ready. AI can answer from this source.",IF(P48="","Name an owner and a repair date.",IF(Q48="","Set a repair date.","Repair, then score it again."))))))</f>
        <v/>
      </c>
      <c r="P48" s="44" t="n"/>
      <c r="Q48" s="48" t="n"/>
      <c r="R48" s="44" t="n"/>
      <c r="S48" s="47">
        <f>IF(OR(L48="",M48="Ready to ground"),"",IF(K48="N",100000,0)+IF(ISNUMBER(C48),C48,0)+(6-L48)/10)</f>
        <v/>
      </c>
    </row>
    <row r="49" ht="15" customHeight="1" s="31">
      <c r="A49" s="44" t="n"/>
      <c r="B49" s="44" t="n"/>
      <c r="C49" s="44" t="n"/>
      <c r="D49" s="44" t="n"/>
      <c r="E49" s="44" t="n"/>
      <c r="F49" s="45" t="n"/>
      <c r="G49" s="45" t="n"/>
      <c r="H49" s="45" t="n"/>
      <c r="I49" s="45" t="n"/>
      <c r="J49" s="45" t="n"/>
      <c r="K49" s="45" t="n"/>
      <c r="L49" s="46">
        <f>IF(B49="","",IF(COUNTA(F49:K49)&lt;6,"",COUNTIF(F49:K49,"Y")))</f>
        <v/>
      </c>
      <c r="M49" s="46">
        <f>IF(OR(B49="",L49=""),"",IF(L49=6,"Ready to ground",IF(L49&gt;=4,"Repair","Standing risk")))</f>
        <v/>
      </c>
      <c r="N49" s="46">
        <f>IF(S49="","",RANK(S49,$S$5:$S$54,0))</f>
        <v/>
      </c>
      <c r="O49" s="47">
        <f>IF(B49="","",IF(L49="","Score all six tests.",IF(K49="N","Fix access first. Define who may see this before AI can use it.",IF(M49="Ready to ground","Ready. AI can answer from this source.",IF(P49="","Name an owner and a repair date.",IF(Q49="","Set a repair date.","Repair, then score it again."))))))</f>
        <v/>
      </c>
      <c r="P49" s="44" t="n"/>
      <c r="Q49" s="48" t="n"/>
      <c r="R49" s="44" t="n"/>
      <c r="S49" s="47">
        <f>IF(OR(L49="",M49="Ready to ground"),"",IF(K49="N",100000,0)+IF(ISNUMBER(C49),C49,0)+(6-L49)/10)</f>
        <v/>
      </c>
    </row>
    <row r="50" ht="15" customHeight="1" s="31">
      <c r="A50" s="44" t="n"/>
      <c r="B50" s="44" t="n"/>
      <c r="C50" s="44" t="n"/>
      <c r="D50" s="44" t="n"/>
      <c r="E50" s="44" t="n"/>
      <c r="F50" s="45" t="n"/>
      <c r="G50" s="45" t="n"/>
      <c r="H50" s="45" t="n"/>
      <c r="I50" s="45" t="n"/>
      <c r="J50" s="45" t="n"/>
      <c r="K50" s="45" t="n"/>
      <c r="L50" s="46">
        <f>IF(B50="","",IF(COUNTA(F50:K50)&lt;6,"",COUNTIF(F50:K50,"Y")))</f>
        <v/>
      </c>
      <c r="M50" s="46">
        <f>IF(OR(B50="",L50=""),"",IF(L50=6,"Ready to ground",IF(L50&gt;=4,"Repair","Standing risk")))</f>
        <v/>
      </c>
      <c r="N50" s="46">
        <f>IF(S50="","",RANK(S50,$S$5:$S$54,0))</f>
        <v/>
      </c>
      <c r="O50" s="47">
        <f>IF(B50="","",IF(L50="","Score all six tests.",IF(K50="N","Fix access first. Define who may see this before AI can use it.",IF(M50="Ready to ground","Ready. AI can answer from this source.",IF(P50="","Name an owner and a repair date.",IF(Q50="","Set a repair date.","Repair, then score it again."))))))</f>
        <v/>
      </c>
      <c r="P50" s="44" t="n"/>
      <c r="Q50" s="48" t="n"/>
      <c r="R50" s="44" t="n"/>
      <c r="S50" s="47">
        <f>IF(OR(L50="",M50="Ready to ground"),"",IF(K50="N",100000,0)+IF(ISNUMBER(C50),C50,0)+(6-L50)/10)</f>
        <v/>
      </c>
    </row>
    <row r="51" ht="15" customHeight="1" s="31">
      <c r="A51" s="44" t="n"/>
      <c r="B51" s="44" t="n"/>
      <c r="C51" s="44" t="n"/>
      <c r="D51" s="44" t="n"/>
      <c r="E51" s="44" t="n"/>
      <c r="F51" s="45" t="n"/>
      <c r="G51" s="45" t="n"/>
      <c r="H51" s="45" t="n"/>
      <c r="I51" s="45" t="n"/>
      <c r="J51" s="45" t="n"/>
      <c r="K51" s="45" t="n"/>
      <c r="L51" s="46">
        <f>IF(B51="","",IF(COUNTA(F51:K51)&lt;6,"",COUNTIF(F51:K51,"Y")))</f>
        <v/>
      </c>
      <c r="M51" s="46">
        <f>IF(OR(B51="",L51=""),"",IF(L51=6,"Ready to ground",IF(L51&gt;=4,"Repair","Standing risk")))</f>
        <v/>
      </c>
      <c r="N51" s="46">
        <f>IF(S51="","",RANK(S51,$S$5:$S$54,0))</f>
        <v/>
      </c>
      <c r="O51" s="47">
        <f>IF(B51="","",IF(L51="","Score all six tests.",IF(K51="N","Fix access first. Define who may see this before AI can use it.",IF(M51="Ready to ground","Ready. AI can answer from this source.",IF(P51="","Name an owner and a repair date.",IF(Q51="","Set a repair date.","Repair, then score it again."))))))</f>
        <v/>
      </c>
      <c r="P51" s="44" t="n"/>
      <c r="Q51" s="48" t="n"/>
      <c r="R51" s="44" t="n"/>
      <c r="S51" s="47">
        <f>IF(OR(L51="",M51="Ready to ground"),"",IF(K51="N",100000,0)+IF(ISNUMBER(C51),C51,0)+(6-L51)/10)</f>
        <v/>
      </c>
    </row>
    <row r="52" ht="15" customHeight="1" s="31">
      <c r="A52" s="44" t="n"/>
      <c r="B52" s="44" t="n"/>
      <c r="C52" s="44" t="n"/>
      <c r="D52" s="44" t="n"/>
      <c r="E52" s="44" t="n"/>
      <c r="F52" s="45" t="n"/>
      <c r="G52" s="45" t="n"/>
      <c r="H52" s="45" t="n"/>
      <c r="I52" s="45" t="n"/>
      <c r="J52" s="45" t="n"/>
      <c r="K52" s="45" t="n"/>
      <c r="L52" s="46">
        <f>IF(B52="","",IF(COUNTA(F52:K52)&lt;6,"",COUNTIF(F52:K52,"Y")))</f>
        <v/>
      </c>
      <c r="M52" s="46">
        <f>IF(OR(B52="",L52=""),"",IF(L52=6,"Ready to ground",IF(L52&gt;=4,"Repair","Standing risk")))</f>
        <v/>
      </c>
      <c r="N52" s="46">
        <f>IF(S52="","",RANK(S52,$S$5:$S$54,0))</f>
        <v/>
      </c>
      <c r="O52" s="47">
        <f>IF(B52="","",IF(L52="","Score all six tests.",IF(K52="N","Fix access first. Define who may see this before AI can use it.",IF(M52="Ready to ground","Ready. AI can answer from this source.",IF(P52="","Name an owner and a repair date.",IF(Q52="","Set a repair date.","Repair, then score it again."))))))</f>
        <v/>
      </c>
      <c r="P52" s="44" t="n"/>
      <c r="Q52" s="48" t="n"/>
      <c r="R52" s="44" t="n"/>
      <c r="S52" s="47">
        <f>IF(OR(L52="",M52="Ready to ground"),"",IF(K52="N",100000,0)+IF(ISNUMBER(C52),C52,0)+(6-L52)/10)</f>
        <v/>
      </c>
    </row>
    <row r="53" ht="15" customHeight="1" s="31">
      <c r="A53" s="44" t="n"/>
      <c r="B53" s="44" t="n"/>
      <c r="C53" s="44" t="n"/>
      <c r="D53" s="44" t="n"/>
      <c r="E53" s="44" t="n"/>
      <c r="F53" s="45" t="n"/>
      <c r="G53" s="45" t="n"/>
      <c r="H53" s="45" t="n"/>
      <c r="I53" s="45" t="n"/>
      <c r="J53" s="45" t="n"/>
      <c r="K53" s="45" t="n"/>
      <c r="L53" s="46">
        <f>IF(B53="","",IF(COUNTA(F53:K53)&lt;6,"",COUNTIF(F53:K53,"Y")))</f>
        <v/>
      </c>
      <c r="M53" s="46">
        <f>IF(OR(B53="",L53=""),"",IF(L53=6,"Ready to ground",IF(L53&gt;=4,"Repair","Standing risk")))</f>
        <v/>
      </c>
      <c r="N53" s="46">
        <f>IF(S53="","",RANK(S53,$S$5:$S$54,0))</f>
        <v/>
      </c>
      <c r="O53" s="47">
        <f>IF(B53="","",IF(L53="","Score all six tests.",IF(K53="N","Fix access first. Define who may see this before AI can use it.",IF(M53="Ready to ground","Ready. AI can answer from this source.",IF(P53="","Name an owner and a repair date.",IF(Q53="","Set a repair date.","Repair, then score it again."))))))</f>
        <v/>
      </c>
      <c r="P53" s="44" t="n"/>
      <c r="Q53" s="48" t="n"/>
      <c r="R53" s="44" t="n"/>
      <c r="S53" s="47">
        <f>IF(OR(L53="",M53="Ready to ground"),"",IF(K53="N",100000,0)+IF(ISNUMBER(C53),C53,0)+(6-L53)/10)</f>
        <v/>
      </c>
    </row>
    <row r="54" ht="15" customHeight="1" s="31">
      <c r="A54" s="44" t="n"/>
      <c r="B54" s="44" t="n"/>
      <c r="C54" s="44" t="n"/>
      <c r="D54" s="44" t="n"/>
      <c r="E54" s="44" t="n"/>
      <c r="F54" s="45" t="n"/>
      <c r="G54" s="45" t="n"/>
      <c r="H54" s="45" t="n"/>
      <c r="I54" s="45" t="n"/>
      <c r="J54" s="45" t="n"/>
      <c r="K54" s="45" t="n"/>
      <c r="L54" s="46">
        <f>IF(B54="","",IF(COUNTA(F54:K54)&lt;6,"",COUNTIF(F54:K54,"Y")))</f>
        <v/>
      </c>
      <c r="M54" s="46">
        <f>IF(OR(B54="",L54=""),"",IF(L54=6,"Ready to ground",IF(L54&gt;=4,"Repair","Standing risk")))</f>
        <v/>
      </c>
      <c r="N54" s="46">
        <f>IF(S54="","",RANK(S54,$S$5:$S$54,0))</f>
        <v/>
      </c>
      <c r="O54" s="47">
        <f>IF(B54="","",IF(L54="","Score all six tests.",IF(K54="N","Fix access first. Define who may see this before AI can use it.",IF(M54="Ready to ground","Ready. AI can answer from this source.",IF(P54="","Name an owner and a repair date.",IF(Q54="","Set a repair date.","Repair, then score it again."))))))</f>
        <v/>
      </c>
      <c r="P54" s="44" t="n"/>
      <c r="Q54" s="48" t="n"/>
      <c r="R54" s="44" t="n"/>
      <c r="S54" s="47">
        <f>IF(OR(L54="",M54="Ready to ground"),"",IF(K54="N",100000,0)+IF(ISNUMBER(C54),C54,0)+(6-L54)/10)</f>
        <v/>
      </c>
    </row>
  </sheetData>
  <conditionalFormatting sqref="M5:M54">
    <cfRule type="expression" rank="0" priority="2" equalAverage="0" aboveAverage="0" dxfId="0" text="" percent="0" bottom="0">
      <formula>M5="Ready to ground"</formula>
    </cfRule>
    <cfRule type="expression" rank="0" priority="3" equalAverage="0" aboveAverage="0" dxfId="1" text="" percent="0" bottom="0">
      <formula>M5="Repair"</formula>
    </cfRule>
    <cfRule type="expression" rank="0" priority="4" equalAverage="0" aboveAverage="0" dxfId="2" text="" percent="0" bottom="0">
      <formula>M5="Standing risk"</formula>
    </cfRule>
  </conditionalFormatting>
  <conditionalFormatting sqref="F5:K54">
    <cfRule type="expression" rank="0" priority="5" equalAverage="0" aboveAverage="0" dxfId="3" text="" percent="0" bottom="0">
      <formula>F5="N"</formula>
    </cfRule>
  </conditionalFormatting>
  <conditionalFormatting sqref="O5:O54">
    <cfRule type="expression" rank="0" priority="6" equalAverage="0" aboveAverage="0" dxfId="3" text="" percent="0" bottom="0">
      <formula>$K5="N"</formula>
    </cfRule>
  </conditionalFormatting>
  <dataValidations count="1">
    <dataValidation sqref="F5:K54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OnTheGrow Leadership | Knowledge Readiness Test&amp;C&amp;8 © 2026 Elizabeth A. Corey. All rights reserved.&amp;R&amp;8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39989E"/>
    <outlinePr summaryBelow="1" summaryRight="1"/>
    <pageSetUpPr fitToPage="1"/>
  </sheetPr>
  <dimension ref="A1:E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0" min="1" max="1"/>
    <col width="40" customWidth="1" style="30" min="2" max="2"/>
    <col width="16" customWidth="1" style="30" min="3" max="5"/>
    <col width="22" customWidth="1" style="30" min="6" max="6"/>
  </cols>
  <sheetData>
    <row r="1" ht="19.7" customHeight="1" s="31">
      <c r="B1" s="39" t="inlineStr">
        <is>
          <t>Summary: Is Your Knowledge Ready for AI?</t>
        </is>
      </c>
    </row>
    <row r="2" ht="15" customHeight="1" s="31">
      <c r="B2" s="40" t="inlineStr">
        <is>
          <t>HOW TO USE THIS TAB: Nothing to type here. Everything calculates from the Scorecard. Bring this page to your next leadership meeting: this is what AI will inherit from us today.</t>
        </is>
      </c>
    </row>
    <row r="3" ht="15" customHeight="1" s="31">
      <c r="B3" s="41" t="inlineStr">
        <is>
          <t>© 2026 Elizabeth A. Corey. All rights reserved. GROWTH Execution Model™. onthegrow.ai</t>
        </is>
      </c>
    </row>
    <row r="4"/>
    <row r="5" ht="15" customHeight="1" s="31">
      <c r="B5" s="49" t="inlineStr">
        <is>
          <t>THE HEADLINE</t>
        </is>
      </c>
      <c r="C5" s="42" t="inlineStr">
        <is>
          <t>Value</t>
        </is>
      </c>
    </row>
    <row r="6" ht="15" customHeight="1" s="31">
      <c r="B6" s="50" t="inlineStr">
        <is>
          <t>Questions scored</t>
        </is>
      </c>
      <c r="C6" s="51">
        <f>COUNT(Scorecard!L5:L54)</f>
        <v/>
      </c>
    </row>
    <row r="7" ht="15" customHeight="1" s="31">
      <c r="B7" s="50" t="inlineStr">
        <is>
          <t>Ready to ground</t>
        </is>
      </c>
      <c r="C7" s="51">
        <f>COUNTIF(Scorecard!M5:M54,"Ready to ground")</f>
        <v/>
      </c>
    </row>
    <row r="8" ht="23.85" customHeight="1" s="31">
      <c r="B8" s="50" t="inlineStr">
        <is>
          <t>Share of monthly questions AI could answer safely today</t>
        </is>
      </c>
      <c r="C8" s="52">
        <f>IF(SUM(Scorecard!C5:C54)=0,0,SUMIF(Scorecard!M5:M54,"Ready to ground",Scorecard!C5:C54)/SUM(Scorecard!C5:C54))</f>
        <v/>
      </c>
    </row>
    <row r="9" ht="15" customHeight="1" s="31">
      <c r="B9" s="50" t="inlineStr">
        <is>
          <t>Need repair (score 4 or 5)</t>
        </is>
      </c>
      <c r="C9" s="51">
        <f>COUNTIF(Scorecard!M5:M54,"Repair")</f>
        <v/>
      </c>
    </row>
    <row r="10" ht="15" customHeight="1" s="31">
      <c r="B10" s="50" t="inlineStr">
        <is>
          <t>Standing risk (score 3 or less)</t>
        </is>
      </c>
      <c r="C10" s="51">
        <f>COUNTIF(Scorecard!M5:M54,"Standing risk")</f>
        <v/>
      </c>
    </row>
    <row r="11" ht="15" customHeight="1" s="31">
      <c r="B11" s="50" t="inlineStr">
        <is>
          <t>Access gaps (fix first)</t>
        </is>
      </c>
      <c r="C11" s="51">
        <f>COUNTIF(Scorecard!K5:K54,"N")</f>
        <v/>
      </c>
    </row>
    <row r="12"/>
    <row r="13" ht="15" customHeight="1" s="31">
      <c r="B13" s="49" t="inlineStr">
        <is>
          <t>WHICH TEST FAILS MOST</t>
        </is>
      </c>
      <c r="C13" s="42" t="inlineStr">
        <is>
          <t>Questions failing</t>
        </is>
      </c>
      <c r="D13" s="42" t="inlineStr">
        <is>
          <t>Share failing</t>
        </is>
      </c>
    </row>
    <row r="14" ht="15" customHeight="1" s="31">
      <c r="B14" s="53" t="inlineStr">
        <is>
          <t>Written</t>
        </is>
      </c>
      <c r="C14" s="54">
        <f>COUNTIF(Scorecard!F5:F54,"N")</f>
        <v/>
      </c>
      <c r="D14" s="55">
        <f>IF($C$6=0,0,C14/$C$6)</f>
        <v/>
      </c>
    </row>
    <row r="15" ht="15" customHeight="1" s="31">
      <c r="B15" s="53" t="inlineStr">
        <is>
          <t>Current</t>
        </is>
      </c>
      <c r="C15" s="54">
        <f>COUNTIF(Scorecard!G5:G54,"N")</f>
        <v/>
      </c>
      <c r="D15" s="55">
        <f>IF($C$6=0,0,C15/$C$6)</f>
        <v/>
      </c>
    </row>
    <row r="16" ht="15" customHeight="1" s="31">
      <c r="B16" s="53" t="inlineStr">
        <is>
          <t>Singular</t>
        </is>
      </c>
      <c r="C16" s="54">
        <f>COUNTIF(Scorecard!H5:H54,"N")</f>
        <v/>
      </c>
      <c r="D16" s="55">
        <f>IF($C$6=0,0,C16/$C$6)</f>
        <v/>
      </c>
    </row>
    <row r="17" ht="15" customHeight="1" s="31">
      <c r="B17" s="53" t="inlineStr">
        <is>
          <t>Findable</t>
        </is>
      </c>
      <c r="C17" s="54">
        <f>COUNTIF(Scorecard!I5:I54,"N")</f>
        <v/>
      </c>
      <c r="D17" s="55">
        <f>IF($C$6=0,0,C17/$C$6)</f>
        <v/>
      </c>
    </row>
    <row r="18" ht="15" customHeight="1" s="31">
      <c r="B18" s="53" t="inlineStr">
        <is>
          <t>Owned</t>
        </is>
      </c>
      <c r="C18" s="54">
        <f>COUNTIF(Scorecard!J5:J54,"N")</f>
        <v/>
      </c>
      <c r="D18" s="55">
        <f>IF($C$6=0,0,C18/$C$6)</f>
        <v/>
      </c>
    </row>
    <row r="19" ht="15" customHeight="1" s="31">
      <c r="B19" s="53" t="inlineStr">
        <is>
          <t>Permissioned</t>
        </is>
      </c>
      <c r="C19" s="54">
        <f>COUNTIF(Scorecard!K5:K54,"N")</f>
        <v/>
      </c>
      <c r="D19" s="55">
        <f>IF($C$6=0,0,C19/$C$6)</f>
        <v/>
      </c>
    </row>
    <row r="20"/>
    <row r="21" ht="22.35" customHeight="1" s="31">
      <c r="B21" s="49" t="inlineStr">
        <is>
          <t>TOP 5 REPAIRS (most-asked first, access gaps on top)</t>
        </is>
      </c>
      <c r="C21" s="42" t="inlineStr">
        <is>
          <t>Status</t>
        </is>
      </c>
      <c r="D21" s="42" t="inlineStr">
        <is>
          <t>Owner</t>
        </is>
      </c>
      <c r="E21" s="42" t="inlineStr">
        <is>
          <t>Repair date</t>
        </is>
      </c>
    </row>
    <row r="22" ht="23.85" customHeight="1" s="31">
      <c r="B22" s="56">
        <f>IFERROR(INDEX(Scorecard!$B$5:$B$54,MATCH(1,Scorecard!$N$5:$N$54,0)),"")</f>
        <v/>
      </c>
      <c r="C22" s="56">
        <f>IFERROR(INDEX(Scorecard!$M$5:$M$54,MATCH(1,Scorecard!$N$5:$N$54,0)),"")</f>
        <v/>
      </c>
      <c r="D22" s="56">
        <f>IFERROR(INDEX(Scorecard!$P$5:$P$54,MATCH(1,Scorecard!$N$5:$N$54,0))&amp;"","")</f>
        <v/>
      </c>
      <c r="E22" s="57">
        <f>IFERROR(IF(INDEX(Scorecard!$Q$5:$Q$54,MATCH(1,Scorecard!$N$5:$N$54,0))="","",INDEX(Scorecard!$Q$5:$Q$54,MATCH(1,Scorecard!$N$5:$N$54,0))),"")</f>
        <v/>
      </c>
    </row>
    <row r="23" ht="23.85" customHeight="1" s="31">
      <c r="B23" s="56">
        <f>IFERROR(INDEX(Scorecard!$B$5:$B$54,MATCH(2,Scorecard!$N$5:$N$54,0)),"")</f>
        <v/>
      </c>
      <c r="C23" s="56">
        <f>IFERROR(INDEX(Scorecard!$M$5:$M$54,MATCH(2,Scorecard!$N$5:$N$54,0)),"")</f>
        <v/>
      </c>
      <c r="D23" s="56">
        <f>IFERROR(INDEX(Scorecard!$P$5:$P$54,MATCH(2,Scorecard!$N$5:$N$54,0))&amp;"","")</f>
        <v/>
      </c>
      <c r="E23" s="57">
        <f>IFERROR(IF(INDEX(Scorecard!$Q$5:$Q$54,MATCH(2,Scorecard!$N$5:$N$54,0))="","",INDEX(Scorecard!$Q$5:$Q$54,MATCH(2,Scorecard!$N$5:$N$54,0))),"")</f>
        <v/>
      </c>
    </row>
    <row r="24" ht="23.85" customHeight="1" s="31">
      <c r="B24" s="56">
        <f>IFERROR(INDEX(Scorecard!$B$5:$B$54,MATCH(3,Scorecard!$N$5:$N$54,0)),"")</f>
        <v/>
      </c>
      <c r="C24" s="56">
        <f>IFERROR(INDEX(Scorecard!$M$5:$M$54,MATCH(3,Scorecard!$N$5:$N$54,0)),"")</f>
        <v/>
      </c>
      <c r="D24" s="56">
        <f>IFERROR(INDEX(Scorecard!$P$5:$P$54,MATCH(3,Scorecard!$N$5:$N$54,0))&amp;"","")</f>
        <v/>
      </c>
      <c r="E24" s="57">
        <f>IFERROR(IF(INDEX(Scorecard!$Q$5:$Q$54,MATCH(3,Scorecard!$N$5:$N$54,0))="","",INDEX(Scorecard!$Q$5:$Q$54,MATCH(3,Scorecard!$N$5:$N$54,0))),"")</f>
        <v/>
      </c>
    </row>
    <row r="25" ht="23.85" customHeight="1" s="31">
      <c r="B25" s="56">
        <f>IFERROR(INDEX(Scorecard!$B$5:$B$54,MATCH(4,Scorecard!$N$5:$N$54,0)),"")</f>
        <v/>
      </c>
      <c r="C25" s="56">
        <f>IFERROR(INDEX(Scorecard!$M$5:$M$54,MATCH(4,Scorecard!$N$5:$N$54,0)),"")</f>
        <v/>
      </c>
      <c r="D25" s="56">
        <f>IFERROR(INDEX(Scorecard!$P$5:$P$54,MATCH(4,Scorecard!$N$5:$N$54,0))&amp;"","")</f>
        <v/>
      </c>
      <c r="E25" s="57">
        <f>IFERROR(IF(INDEX(Scorecard!$Q$5:$Q$54,MATCH(4,Scorecard!$N$5:$N$54,0))="","",INDEX(Scorecard!$Q$5:$Q$54,MATCH(4,Scorecard!$N$5:$N$54,0))),"")</f>
        <v/>
      </c>
    </row>
    <row r="26" ht="15" customHeight="1" s="31">
      <c r="B26" s="56">
        <f>IFERROR(INDEX(Scorecard!$B$5:$B$54,MATCH(5,Scorecard!$N$5:$N$54,0)),"")</f>
        <v/>
      </c>
      <c r="C26" s="56">
        <f>IFERROR(INDEX(Scorecard!$M$5:$M$54,MATCH(5,Scorecard!$N$5:$N$54,0)),"")</f>
        <v/>
      </c>
      <c r="D26" s="56">
        <f>IFERROR(INDEX(Scorecard!$P$5:$P$54,MATCH(5,Scorecard!$N$5:$N$54,0))&amp;"","")</f>
        <v/>
      </c>
      <c r="E26" s="57">
        <f>IFERROR(IF(INDEX(Scorecard!$Q$5:$Q$54,MATCH(5,Scorecard!$N$5:$N$54,0))="","",INDEX(Scorecard!$Q$5:$Q$54,MATCH(5,Scorecard!$N$5:$N$54,0))),"")</f>
        <v/>
      </c>
    </row>
    <row r="27"/>
    <row r="28" ht="15" customHeight="1" s="31">
      <c r="B28" s="58" t="inlineStr">
        <is>
          <t>Say it plainly: this is what AI will inherit from us today. Then assign one owner and one repair date per failing answer.</t>
        </is>
      </c>
    </row>
    <row r="29" ht="15" customHeight="1" s="31"/>
    <row r="30"/>
    <row r="31" ht="15" customHeight="1" s="31">
      <c r="B31" s="41" t="inlineStr">
        <is>
          <t>© 2026 Elizabeth A. Corey. All rights reserved. GROWTH Execution Model™. onthegrow.ai</t>
        </is>
      </c>
    </row>
  </sheetData>
  <mergeCells count="1">
    <mergeCell ref="B28:E29"/>
  </mergeCell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OnTheGrow Leadership | Knowledge Readiness Test&amp;C&amp;8 © 2026 Elizabeth A. Corey. All rights reserved.&amp;R&amp;8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2026-10-09T02:59:27Z</dcterms:created>
  <dcterms:modified xmlns:dcterms="http://purl.org/dc/terms/" xmlns:xsi="http://www.w3.org/2001/XMLSchema-instance" xsi:type="dcterms:W3CDTF">2026-10-20T02:55:28Z</dcterms:modified>
  <cp:revision>0</cp:revision>
</cp:coreProperties>
</file>