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Use" sheetId="1" state="visible" r:id="rId1"/>
    <sheet xmlns:r="http://schemas.openxmlformats.org/officeDocument/2006/relationships" name="Taxonomy" sheetId="2" state="visible" r:id="rId2"/>
    <sheet xmlns:r="http://schemas.openxmlformats.org/officeDocument/2006/relationships" name="Work Assignment" sheetId="3" state="visible" r:id="rId3"/>
    <sheet xmlns:r="http://schemas.openxmlformats.org/officeDocument/2006/relationships" name="Summar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
    <numFmt numFmtId="166" formatCode="mm/dd/yyyy"/>
    <numFmt numFmtId="167" formatCode="#,##0.0"/>
    <numFmt numFmtId="168" formatCode="0.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36294F"/>
      <sz val="20"/>
    </font>
    <font>
      <name val="Arial"/>
      <charset val="1"/>
      <family val="0"/>
      <i val="1"/>
      <color rgb="FF39989E"/>
      <sz val="11"/>
    </font>
    <font>
      <name val="Arial"/>
      <charset val="1"/>
      <family val="0"/>
      <color rgb="FF26222E"/>
      <sz val="10"/>
    </font>
    <font>
      <name val="Arial"/>
      <charset val="1"/>
      <family val="0"/>
      <b val="1"/>
      <color rgb="FFFFFFFF"/>
      <sz val="12"/>
    </font>
    <font>
      <name val="Arial"/>
      <charset val="1"/>
      <family val="0"/>
      <b val="1"/>
      <color rgb="FF36294F"/>
      <sz val="10"/>
    </font>
    <font>
      <name val="Arial"/>
      <charset val="1"/>
      <family val="0"/>
      <color rgb="FF55505F"/>
      <sz val="8"/>
    </font>
    <font>
      <name val="Arial"/>
      <charset val="1"/>
      <family val="0"/>
      <b val="1"/>
      <color rgb="FF36294F"/>
      <sz val="16"/>
    </font>
    <font>
      <name val="Arial"/>
      <charset val="1"/>
      <family val="0"/>
      <i val="1"/>
      <color rgb="FF55505F"/>
      <sz val="9"/>
    </font>
    <font>
      <name val="Arial"/>
      <charset val="1"/>
      <family val="0"/>
      <b val="1"/>
      <color rgb="FFFFFFFF"/>
      <sz val="9"/>
    </font>
    <font>
      <name val="Arial"/>
      <charset val="1"/>
      <family val="0"/>
      <sz val="9"/>
    </font>
    <font>
      <name val="Arial"/>
      <family val="2"/>
      <sz val="10"/>
    </font>
    <font>
      <name val="Arial"/>
      <charset val="1"/>
      <family val="0"/>
      <b val="1"/>
      <sz val="9"/>
    </font>
    <font>
      <name val="Arial"/>
      <charset val="1"/>
      <family val="0"/>
      <i val="1"/>
      <color rgb="FF55505F"/>
      <sz val="8"/>
    </font>
    <font>
      <name val="Arial"/>
      <charset val="1"/>
      <family val="0"/>
      <sz val="10"/>
    </font>
    <font>
      <name val="Arial"/>
      <charset val="1"/>
      <family val="0"/>
      <b val="1"/>
      <color rgb="FF0000FF"/>
      <sz val="10"/>
    </font>
    <font>
      <name val="Arial"/>
      <charset val="1"/>
      <family val="0"/>
      <b val="1"/>
      <sz val="10"/>
    </font>
    <font>
      <name val="Arial"/>
      <charset val="1"/>
      <family val="0"/>
      <i val="1"/>
      <color rgb="FF36294F"/>
      <sz val="9"/>
    </font>
  </fonts>
  <fills count="5">
    <fill>
      <patternFill/>
    </fill>
    <fill>
      <patternFill patternType="gray125"/>
    </fill>
    <fill>
      <patternFill patternType="solid">
        <fgColor rgb="FF36294F"/>
        <bgColor rgb="FF26222E"/>
      </patternFill>
    </fill>
    <fill>
      <patternFill patternType="solid">
        <fgColor rgb="FFFFF2CC"/>
        <bgColor rgb="FFFDE8E8"/>
      </patternFill>
    </fill>
    <fill>
      <patternFill patternType="solid">
        <fgColor rgb="FF39989E"/>
        <bgColor rgb="FF2B7A7F"/>
      </patternFill>
    </fill>
  </fills>
  <borders count="2">
    <border>
      <left/>
      <right/>
      <top/>
      <bottom/>
      <diagonal/>
    </border>
    <border>
      <left style="thin">
        <color rgb="FFD9D5E2"/>
      </left>
      <right style="thin">
        <color rgb="FFD9D5E2"/>
      </right>
      <top style="thin">
        <color rgb="FFD9D5E2"/>
      </top>
      <bottom style="thin">
        <color rgb="FFD9D5E2"/>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0" borderId="0" applyAlignment="1" pivotButton="0" quotePrefix="0" xfId="0">
      <alignment horizontal="general" vertical="top" wrapText="1"/>
    </xf>
    <xf numFmtId="0" fontId="6" fillId="0" borderId="0" applyAlignment="1" pivotButton="0" quotePrefix="0" xfId="0">
      <alignment horizontal="general" vertical="top" wrapText="1"/>
    </xf>
    <xf numFmtId="0" fontId="8" fillId="3"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9" fillId="0" borderId="0" applyAlignment="1" pivotButton="0" quotePrefix="0" xfId="0">
      <alignment horizontal="general" vertical="bottom"/>
    </xf>
    <xf numFmtId="0" fontId="12" fillId="2"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3" borderId="1" applyAlignment="1" pivotButton="0" quotePrefix="0" xfId="0">
      <alignment horizontal="general" vertical="top" wrapText="1"/>
    </xf>
    <xf numFmtId="164" fontId="13" fillId="0" borderId="1" applyAlignment="1" pivotButton="0" quotePrefix="0" xfId="0">
      <alignment horizontal="general" vertical="top" wrapText="1"/>
    </xf>
    <xf numFmtId="165" fontId="13" fillId="0" borderId="1" applyAlignment="1" pivotButton="0" quotePrefix="0" xfId="0">
      <alignment horizontal="general" vertical="top" wrapText="1"/>
    </xf>
    <xf numFmtId="0" fontId="13" fillId="0" borderId="1" applyAlignment="1" pivotButton="0" quotePrefix="0" xfId="0">
      <alignment horizontal="left" vertical="top" wrapText="1"/>
    </xf>
    <xf numFmtId="164" fontId="13" fillId="0" borderId="1" applyAlignment="1" pivotButton="0" quotePrefix="0" xfId="0">
      <alignment horizontal="left" vertical="top" wrapText="1"/>
    </xf>
    <xf numFmtId="0" fontId="13" fillId="3" borderId="1" applyAlignment="1" pivotButton="0" quotePrefix="0" xfId="0">
      <alignment horizontal="left" vertical="top" wrapText="1"/>
    </xf>
    <xf numFmtId="0" fontId="13" fillId="3" borderId="1" applyAlignment="1" pivotButton="0" quotePrefix="0" xfId="0">
      <alignment horizontal="center" vertical="top" wrapText="1"/>
    </xf>
    <xf numFmtId="0" fontId="15" fillId="0" borderId="1" applyAlignment="1" pivotButton="0" quotePrefix="0" xfId="0">
      <alignment horizontal="center" vertical="top" wrapText="1"/>
    </xf>
    <xf numFmtId="166" fontId="13" fillId="3" borderId="1" applyAlignment="1" pivotButton="0" quotePrefix="0" xfId="0">
      <alignment horizontal="left" vertical="top" wrapText="1"/>
    </xf>
    <xf numFmtId="0" fontId="12" fillId="2" borderId="1" applyAlignment="1" pivotButton="0" quotePrefix="0" xfId="0">
      <alignment horizontal="left" vertical="center"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165" fontId="18" fillId="3" borderId="0" applyAlignment="1" pivotButton="0" quotePrefix="0" xfId="0">
      <alignment horizontal="general" vertical="bottom"/>
    </xf>
    <xf numFmtId="0" fontId="16" fillId="0" borderId="0" applyAlignment="1" pivotButton="0" quotePrefix="0" xfId="0">
      <alignment horizontal="general" vertical="bottom" wrapText="1"/>
    </xf>
    <xf numFmtId="0" fontId="17" fillId="0" borderId="1" applyAlignment="1" pivotButton="0" quotePrefix="0" xfId="0">
      <alignment horizontal="general" vertical="bottom"/>
    </xf>
    <xf numFmtId="1" fontId="19" fillId="0" borderId="1" applyAlignment="1" pivotButton="0" quotePrefix="0" xfId="0">
      <alignment horizontal="general" vertical="bottom"/>
    </xf>
    <xf numFmtId="167" fontId="19" fillId="0" borderId="1" applyAlignment="1" pivotButton="0" quotePrefix="0" xfId="0">
      <alignment horizontal="general" vertical="bottom"/>
    </xf>
    <xf numFmtId="165" fontId="19" fillId="0" borderId="1" applyAlignment="1" pivotButton="0" quotePrefix="0" xfId="0">
      <alignment horizontal="general" vertical="bottom"/>
    </xf>
    <xf numFmtId="168" fontId="19" fillId="0" borderId="1" applyAlignment="1" pivotButton="0" quotePrefix="0" xfId="0">
      <alignment horizontal="general" vertical="bottom"/>
    </xf>
    <xf numFmtId="0" fontId="8" fillId="0" borderId="1" applyAlignment="1" pivotButton="0" quotePrefix="0" xfId="0">
      <alignment horizontal="general" vertical="bottom"/>
    </xf>
    <xf numFmtId="0" fontId="0" fillId="0" borderId="1" applyAlignment="1" pivotButton="0" quotePrefix="0" xfId="0">
      <alignment horizontal="general" vertical="bottom"/>
    </xf>
    <xf numFmtId="167" fontId="0" fillId="0" borderId="1" applyAlignment="1" pivotButton="0" quotePrefix="0" xfId="0">
      <alignment horizontal="general" vertical="bottom"/>
    </xf>
    <xf numFmtId="168" fontId="0" fillId="0" borderId="1" applyAlignment="1" pivotButton="0" quotePrefix="0" xfId="0">
      <alignment horizontal="general" vertical="bottom"/>
    </xf>
    <xf numFmtId="0" fontId="17" fillId="3" borderId="1" applyAlignment="1" pivotButton="0" quotePrefix="0" xfId="0">
      <alignment horizontal="general" vertical="bottom"/>
    </xf>
    <xf numFmtId="165" fontId="0" fillId="0" borderId="1" applyAlignment="1" pivotButton="0" quotePrefix="0" xfId="0">
      <alignment horizontal="general" vertical="bottom"/>
    </xf>
    <xf numFmtId="0" fontId="2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9" fillId="0" borderId="0" applyAlignment="1" pivotButton="0" quotePrefix="0" xfId="0">
      <alignment horizontal="general" vertical="bottom"/>
    </xf>
    <xf numFmtId="0" fontId="12" fillId="2"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3" borderId="1" applyAlignment="1" pivotButton="0" quotePrefix="0" xfId="0">
      <alignment horizontal="general" vertical="top" wrapText="1"/>
    </xf>
    <xf numFmtId="164" fontId="13" fillId="0" borderId="1" applyAlignment="1" pivotButton="0" quotePrefix="0" xfId="0">
      <alignment horizontal="general" vertical="top" wrapText="1"/>
    </xf>
    <xf numFmtId="165" fontId="13" fillId="0" borderId="1" applyAlignment="1" pivotButton="0" quotePrefix="0" xfId="0">
      <alignment horizontal="general" vertical="top" wrapText="1"/>
    </xf>
    <xf numFmtId="0" fontId="13" fillId="0" borderId="1" applyAlignment="1" pivotButton="0" quotePrefix="0" xfId="0">
      <alignment horizontal="left" vertical="top" wrapText="1"/>
    </xf>
    <xf numFmtId="164" fontId="13" fillId="0" borderId="1" applyAlignment="1" pivotButton="0" quotePrefix="0" xfId="0">
      <alignment horizontal="left" vertical="top" wrapText="1"/>
    </xf>
    <xf numFmtId="0" fontId="13" fillId="3" borderId="1" applyAlignment="1" pivotButton="0" quotePrefix="0" xfId="0">
      <alignment horizontal="left" vertical="top" wrapText="1"/>
    </xf>
    <xf numFmtId="0" fontId="13" fillId="3" borderId="1" applyAlignment="1" pivotButton="0" quotePrefix="0" xfId="0">
      <alignment horizontal="center" vertical="top" wrapText="1"/>
    </xf>
    <xf numFmtId="0" fontId="15" fillId="0" borderId="1" applyAlignment="1" pivotButton="0" quotePrefix="0" xfId="0">
      <alignment horizontal="center" vertical="top" wrapText="1"/>
    </xf>
    <xf numFmtId="166" fontId="13" fillId="3" borderId="1" applyAlignment="1" pivotButton="0" quotePrefix="0" xfId="0">
      <alignment horizontal="left" vertical="top" wrapText="1"/>
    </xf>
    <xf numFmtId="0" fontId="12" fillId="2" borderId="1" applyAlignment="1" pivotButton="0" quotePrefix="0" xfId="0">
      <alignment horizontal="left" vertical="center"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165" fontId="18" fillId="3" borderId="0" applyAlignment="1" pivotButton="0" quotePrefix="0" xfId="0">
      <alignment horizontal="general" vertical="bottom"/>
    </xf>
    <xf numFmtId="0" fontId="16" fillId="0" borderId="0" applyAlignment="1" pivotButton="0" quotePrefix="0" xfId="0">
      <alignment horizontal="general" vertical="bottom" wrapText="1"/>
    </xf>
    <xf numFmtId="0" fontId="17" fillId="0" borderId="1" applyAlignment="1" pivotButton="0" quotePrefix="0" xfId="0">
      <alignment horizontal="general" vertical="bottom"/>
    </xf>
    <xf numFmtId="1" fontId="19" fillId="0" borderId="1" applyAlignment="1" pivotButton="0" quotePrefix="0" xfId="0">
      <alignment horizontal="general" vertical="bottom"/>
    </xf>
    <xf numFmtId="167" fontId="19" fillId="0" borderId="1" applyAlignment="1" pivotButton="0" quotePrefix="0" xfId="0">
      <alignment horizontal="general" vertical="bottom"/>
    </xf>
    <xf numFmtId="165" fontId="19" fillId="0" borderId="1" applyAlignment="1" pivotButton="0" quotePrefix="0" xfId="0">
      <alignment horizontal="general" vertical="bottom"/>
    </xf>
    <xf numFmtId="168" fontId="19" fillId="0" borderId="1" applyAlignment="1" pivotButton="0" quotePrefix="0" xfId="0">
      <alignment horizontal="general" vertical="bottom"/>
    </xf>
    <xf numFmtId="0" fontId="8" fillId="0" borderId="1" applyAlignment="1" pivotButton="0" quotePrefix="0" xfId="0">
      <alignment horizontal="general" vertical="bottom"/>
    </xf>
    <xf numFmtId="0" fontId="0" fillId="0" borderId="1" applyAlignment="1" pivotButton="0" quotePrefix="0" xfId="0">
      <alignment horizontal="general" vertical="bottom"/>
    </xf>
    <xf numFmtId="167" fontId="0" fillId="0" borderId="1" applyAlignment="1" pivotButton="0" quotePrefix="0" xfId="0">
      <alignment horizontal="general" vertical="bottom"/>
    </xf>
    <xf numFmtId="168" fontId="0" fillId="0" borderId="1" applyAlignment="1" pivotButton="0" quotePrefix="0" xfId="0">
      <alignment horizontal="general" vertical="bottom"/>
    </xf>
    <xf numFmtId="0" fontId="17" fillId="3" borderId="1" applyAlignment="1" pivotButton="0" quotePrefix="0" xfId="0">
      <alignment horizontal="general" vertical="bottom"/>
    </xf>
    <xf numFmtId="165" fontId="0" fillId="0" borderId="1" applyAlignment="1" pivotButton="0" quotePrefix="0" xfId="0">
      <alignment horizontal="general" vertical="bottom"/>
    </xf>
    <xf numFmtId="0" fontId="2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ont>
        <name val="Arial"/>
        <charset val="1"/>
        <family val="0"/>
        <b val="1"/>
        <color rgb="FFB42318"/>
      </font>
    </dxf>
    <dxf>
      <font>
        <name val="Arial"/>
        <charset val="1"/>
        <family val="0"/>
        <b val="1"/>
        <color rgb="FFFFFFFF"/>
      </font>
      <fill>
        <patternFill>
          <bgColor rgb="FF36294F"/>
        </patternFill>
      </fill>
    </dxf>
    <dxf>
      <font>
        <name val="Arial"/>
        <charset val="1"/>
        <family val="0"/>
        <b val="1"/>
        <color rgb="FF36294F"/>
      </font>
      <fill>
        <patternFill>
          <bgColor rgb="FFE6E1EF"/>
        </patternFill>
      </fill>
    </dxf>
    <dxf>
      <font>
        <name val="Arial"/>
        <charset val="1"/>
        <family val="0"/>
        <b val="1"/>
        <color rgb="FF36294F"/>
      </font>
      <fill>
        <patternFill>
          <bgColor rgb="FFF4F2F8"/>
        </patternFill>
      </fill>
    </dxf>
    <dxf>
      <font>
        <name val="Arial"/>
        <charset val="1"/>
        <family val="0"/>
        <b val="1"/>
        <color rgb="FF2B7A7F"/>
      </font>
      <fill>
        <patternFill>
          <bgColor rgb="FFEAF5F5"/>
        </patternFill>
      </fill>
    </dxf>
    <dxf>
      <font>
        <name val="Arial"/>
        <charset val="1"/>
        <family val="0"/>
        <b val="1"/>
        <color rgb="FFB42318"/>
      </font>
      <fill>
        <patternFill>
          <bgColor rgb="FFFDE8E8"/>
        </patternFill>
      </fill>
    </dxf>
    <dxf>
      <font>
        <name val="Arial"/>
        <charset val="1"/>
        <family val="0"/>
        <b val="1"/>
        <color rgb="FF9A95A3"/>
      </font>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B7A7F"/>
      <rgbColor rgb="FFC0C0C0"/>
      <rgbColor rgb="FF808080"/>
      <rgbColor rgb="FF9999FF"/>
      <rgbColor rgb="FF993366"/>
      <rgbColor rgb="FFFFF2CC"/>
      <rgbColor rgb="FFEAF5F5"/>
      <rgbColor rgb="FF660066"/>
      <rgbColor rgb="FFFF8080"/>
      <rgbColor rgb="FF0066CC"/>
      <rgbColor rgb="FFD9D5E2"/>
      <rgbColor rgb="FF000080"/>
      <rgbColor rgb="FFFF00FF"/>
      <rgbColor rgb="FFFFFF00"/>
      <rgbColor rgb="FF00FFFF"/>
      <rgbColor rgb="FF800080"/>
      <rgbColor rgb="FF800000"/>
      <rgbColor rgb="FF008080"/>
      <rgbColor rgb="FF0000FF"/>
      <rgbColor rgb="FF00CCFF"/>
      <rgbColor rgb="FFF4F2F8"/>
      <rgbColor rgb="FFE6E1EF"/>
      <rgbColor rgb="FFFDE8E8"/>
      <rgbColor rgb="FF99CCFF"/>
      <rgbColor rgb="FFFF99CC"/>
      <rgbColor rgb="FFCC99FF"/>
      <rgbColor rgb="FFFFCC99"/>
      <rgbColor rgb="FF3366FF"/>
      <rgbColor rgb="FF33CCCC"/>
      <rgbColor rgb="FF99CC00"/>
      <rgbColor rgb="FFFFCC00"/>
      <rgbColor rgb="FFFF9900"/>
      <rgbColor rgb="FFFF6600"/>
      <rgbColor rgb="FF55505F"/>
      <rgbColor rgb="FF9A95A3"/>
      <rgbColor rgb="FF003366"/>
      <rgbColor rgb="FF39989E"/>
      <rgbColor rgb="FF003300"/>
      <rgbColor rgb="FF26222E"/>
      <rgbColor rgb="FFB42318"/>
      <rgbColor rgb="FF993366"/>
      <rgbColor rgb="FF333399"/>
      <rgbColor rgb="FF36294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A5" authorId="0" shapeId="0">
      <text>
        <t>Example rows are illustrative recruiting tasks with sample volumes and times. Replace them with data from your own interviews and systems.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36294F"/>
    <outlinePr summaryBelow="1" summaryRight="1"/>
    <pageSetUpPr fitToPage="1"/>
  </sheetPr>
  <dimension ref="A1:C3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0" min="1" max="1"/>
    <col width="28" customWidth="1" style="40" min="2" max="2"/>
    <col width="95" customWidth="1" style="40" min="3" max="3"/>
  </cols>
  <sheetData>
    <row r="1" ht="30" customHeight="1" s="41">
      <c r="B1" s="42" t="inlineStr">
        <is>
          <t>The Work Taxonomy</t>
        </is>
      </c>
    </row>
    <row r="2" ht="30" customHeight="1" s="41">
      <c r="B2" s="43" t="inlineStr">
        <is>
          <t>From AI Will Scale Good Leadership and Bad Leadership: The CHRO’s Method for Redesigning Work Before AI Scales What’s Broken, by Liz Corey  |  Toolbox No. 1  |  OnTheGrow Leadership</t>
        </is>
      </c>
    </row>
    <row r="3"/>
    <row r="4" ht="27.75" customHeight="1" s="41">
      <c r="B4" s="44" t="inlineStr">
        <is>
          <t>Map the work before you decide where AI belongs. One row per task. The workbook does the math and places each task in the Work Assignment Matrix.</t>
        </is>
      </c>
    </row>
    <row r="5"/>
    <row r="6" ht="15" customHeight="1" s="41">
      <c r="B6" s="45" t="inlineStr">
        <is>
          <t>HOW THIS WORKBOOK IS SET UP</t>
        </is>
      </c>
    </row>
    <row r="7" ht="15" customHeight="1" s="41">
      <c r="B7" s="46" t="inlineStr">
        <is>
          <t>Taxonomy</t>
        </is>
      </c>
      <c r="C7" s="44" t="inlineStr">
        <is>
          <t>Your task map. One row per task, built in four levels. Hours and cost calculate automatically.</t>
        </is>
      </c>
    </row>
    <row r="8" ht="23.85" customHeight="1" s="41">
      <c r="B8" s="46" t="inlineStr">
        <is>
          <t>Work Assignment</t>
        </is>
      </c>
      <c r="C8" s="44" t="inlineStr">
        <is>
          <t>Answer nine yes or no questions per task. The workbook places each task in a box: Human, Assist, Automate, or Agent.</t>
        </is>
      </c>
    </row>
    <row r="9" ht="15" customHeight="1" s="41">
      <c r="B9" s="46" t="inlineStr">
        <is>
          <t>Summary</t>
        </is>
      </c>
      <c r="C9" s="44" t="inlineStr">
        <is>
          <t>Hours and cost by process and by box, and how much time sits in work that should stop.</t>
        </is>
      </c>
    </row>
    <row r="10" ht="15" customHeight="1" s="41">
      <c r="B10" s="46" t="inlineStr">
        <is>
          <t>Example rows</t>
        </is>
      </c>
      <c r="C10" s="44" t="inlineStr">
        <is>
          <t>Rows for recruiting are filled in so you can see a finished map. Replace them with your own tasks.</t>
        </is>
      </c>
    </row>
    <row r="11" ht="15" customHeight="1" s="41">
      <c r="B11" s="47" t="inlineStr">
        <is>
          <t>Yellow cells</t>
        </is>
      </c>
      <c r="C11" s="44" t="inlineStr">
        <is>
          <t>Type in the yellow cells only. Every other cell is a formula.</t>
        </is>
      </c>
    </row>
    <row r="12"/>
    <row r="13" ht="15" customHeight="1" s="41">
      <c r="B13" s="45" t="inlineStr">
        <is>
          <t>THE FOUR LEVELS</t>
        </is>
      </c>
    </row>
    <row r="14" ht="15" customHeight="1" s="41">
      <c r="B14" s="46" t="inlineStr">
        <is>
          <t>L1 Function</t>
        </is>
      </c>
      <c r="C14" s="44" t="inlineStr">
        <is>
          <t>The business capability. Example: Human Resources</t>
        </is>
      </c>
    </row>
    <row r="15" ht="15" customHeight="1" s="41">
      <c r="B15" s="46" t="inlineStr">
        <is>
          <t>L2 Process</t>
        </is>
      </c>
      <c r="C15" s="44" t="inlineStr">
        <is>
          <t>The value stream inside it. Example: Recruiting</t>
        </is>
      </c>
    </row>
    <row r="16" ht="15" customHeight="1" s="41">
      <c r="B16" s="46" t="inlineStr">
        <is>
          <t>L3 Activity</t>
        </is>
      </c>
      <c r="C16" s="44" t="inlineStr">
        <is>
          <t>A group of related work. Example: Screen candidates</t>
        </is>
      </c>
    </row>
    <row r="17" ht="15" customHeight="1" s="41">
      <c r="B17" s="46" t="inlineStr">
        <is>
          <t>L4 Task</t>
        </is>
      </c>
      <c r="C17" s="44" t="inlineStr">
        <is>
          <t>One unit of work you can assign. Example: Rank applicants against the performance profile</t>
        </is>
      </c>
    </row>
    <row r="18"/>
    <row r="19" ht="15" customHeight="1" s="41">
      <c r="B19" s="45" t="inlineStr">
        <is>
          <t>STEP BY STEP</t>
        </is>
      </c>
    </row>
    <row r="20" ht="23.85" customHeight="1" s="41">
      <c r="B20" s="46" t="inlineStr">
        <is>
          <t>1. Pick one process</t>
        </is>
      </c>
      <c r="C20" s="44" t="inlineStr">
        <is>
          <t>Start with one high-volume process your function owns, such as recruiting, onboarding, or leave administration. Not the whole company.</t>
        </is>
      </c>
    </row>
    <row r="21" ht="23.85" customHeight="1" s="41">
      <c r="B21" s="46" t="inlineStr">
        <is>
          <t>2. Interview the people who do the work</t>
        </is>
      </c>
      <c r="C21" s="44" t="inlineStr">
        <is>
          <t>Ask what they actually did this week, not what the job description says. Use a conversation, not a blank form. A form asks people to summarize. A conversation lets them remember.</t>
        </is>
      </c>
    </row>
    <row r="22" ht="23.85" customHeight="1" s="41">
      <c r="B22" s="46" t="inlineStr">
        <is>
          <t>3. Fill in the Taxonomy tab</t>
        </is>
      </c>
      <c r="C22" s="44" t="inlineStr">
        <is>
          <t>One row per task. Record how often it happens and how long it takes. Keep the room on the task, not the name. People come back into the picture once the work is clear.</t>
        </is>
      </c>
    </row>
    <row r="23" ht="15" customHeight="1" s="41">
      <c r="B23" s="46" t="inlineStr">
        <is>
          <t>4. Verify with system data</t>
        </is>
      </c>
      <c r="C23" s="44" t="inlineStr">
        <is>
          <t>Pull volumes from your systems where they exist. Self-reported time is directionally useful and precisely wrong.</t>
        </is>
      </c>
    </row>
    <row r="24" ht="15" customHeight="1" s="41">
      <c r="B24" s="46" t="inlineStr">
        <is>
          <t>5. Ask whether it should exist</t>
        </is>
      </c>
      <c r="C24" s="44" t="inlineStr">
        <is>
          <t>Mark every task Keep, Simplify, or Cut. Cutting a task beats automating it, and it costs nothing.</t>
        </is>
      </c>
    </row>
    <row r="25" ht="23.85" customHeight="1" s="41">
      <c r="B25" s="46" t="inlineStr">
        <is>
          <t>6. Place each task</t>
        </is>
      </c>
      <c r="C25" s="44" t="inlineStr">
        <is>
          <t>On the Work Assignment tab, answer the five cost questions and the four checking questions. Any yes in a group moves the task to the harder rating.</t>
        </is>
      </c>
    </row>
    <row r="26" ht="23.85" customHeight="1" s="41">
      <c r="B26" s="46" t="inlineStr">
        <is>
          <t>7. Read the Summary</t>
        </is>
      </c>
      <c r="C26" s="44" t="inlineStr">
        <is>
          <t>See where the hours go, what it costs, and how much time sits in work that should stop. Bring that page to your next leadership meeting.</t>
        </is>
      </c>
    </row>
    <row r="27"/>
    <row r="28" ht="15" customHeight="1" s="41">
      <c r="B28" s="45" t="inlineStr">
        <is>
          <t>THE RULES</t>
        </is>
      </c>
    </row>
    <row r="29" ht="15" customHeight="1" s="41">
      <c r="B29" s="46" t="inlineStr">
        <is>
          <t>Unsure?</t>
        </is>
      </c>
      <c r="C29" s="44" t="inlineStr">
        <is>
          <t>Start in Assist. A task moves up only after its error pattern is known.</t>
        </is>
      </c>
    </row>
    <row r="30" ht="15" customHeight="1" s="41">
      <c r="B30" s="46" t="inlineStr">
        <is>
          <t>Always Human</t>
        </is>
      </c>
      <c r="C30" s="44" t="inlineStr">
        <is>
          <t>Termination, discipline, medical information, and legal exposure stay Human, whatever the scores say.</t>
        </is>
      </c>
    </row>
    <row r="31" ht="15" customHeight="1" s="41">
      <c r="B31" s="46" t="inlineStr">
        <is>
          <t>Landed in Human?</t>
        </is>
      </c>
      <c r="C31" s="44" t="inlineStr">
        <is>
          <t>Ask what would make it easier to check. Redesign the task, then score it again.</t>
        </is>
      </c>
    </row>
    <row r="32" ht="23.85" customHeight="1" s="41">
      <c r="B32" s="46" t="inlineStr">
        <is>
          <t>No Agent without a job description</t>
        </is>
      </c>
      <c r="C32" s="44" t="inlineStr">
        <is>
          <t>Every Agent task needs a completed agent job description and a named owner.</t>
        </is>
      </c>
    </row>
    <row r="33" ht="15" customHeight="1" s="41">
      <c r="B33" s="46" t="inlineStr">
        <is>
          <t>Owner and review date</t>
        </is>
      </c>
      <c r="C33" s="44" t="inlineStr">
        <is>
          <t>Every task gets one of each. Placements move as checking gets easier.</t>
        </is>
      </c>
    </row>
    <row r="34"/>
    <row r="35" ht="15" customHeight="1" s="41">
      <c r="B35" s="45" t="inlineStr">
        <is>
          <t>WANT IT DONE FASTER?</t>
        </is>
      </c>
    </row>
    <row r="36" ht="23.85" customHeight="1" s="41">
      <c r="B36" s="46" t="inlineStr">
        <is>
          <t>Work Taxonomy Agent</t>
        </is>
      </c>
      <c r="C36" s="44" t="inlineStr">
        <is>
          <t>The AI-powered version interviews your people, builds the map, and places every task. Call for pricing. Book a conversation at onthegrow.ai</t>
        </is>
      </c>
    </row>
    <row r="37"/>
    <row r="38" ht="15" customHeight="1" s="41">
      <c r="B38" s="48" t="inlineStr">
        <is>
          <t>© 2026 Elizabeth A. Corey. All rights reserved. GROWTH Execution Model™.</t>
        </is>
      </c>
    </row>
  </sheetData>
  <mergeCells count="9">
    <mergeCell ref="B13:C13"/>
    <mergeCell ref="B6:C6"/>
    <mergeCell ref="B38:C38"/>
    <mergeCell ref="B2:C2"/>
    <mergeCell ref="B19:C19"/>
    <mergeCell ref="B28:C28"/>
    <mergeCell ref="B1:C1"/>
    <mergeCell ref="B35:C35"/>
    <mergeCell ref="B4:C4"/>
  </mergeCells>
  <printOptions horizontalCentered="0" verticalCentered="0" headings="0" gridLines="0" gridLinesSet="1"/>
  <pageMargins left="0.75" right="0.75" top="1" bottom="1" header="0.511811023622047" footer="0.5"/>
  <pageSetup orientation="landscape" paperSize="1" scale="100" fitToHeight="0" fitToWidth="1" pageOrder="downThenOver" blackAndWhite="0" draft="0" horizontalDpi="300" verticalDpi="300" copies="1"/>
  <headerFooter differentOddEven="0" differentFirst="0">
    <oddHeader/>
    <oddFooter>&amp;L&amp;8 OnTheGrow Leadership | Work Taxonomy&amp;C&amp;8 © 2026 Elizabeth A. Corey. All rights reserved.&amp;R&amp;8 Page &amp;P of &amp;N</oddFooter>
    <evenHeader/>
    <evenFooter/>
    <firstHeader/>
    <firstFooter/>
  </headerFooter>
</worksheet>
</file>

<file path=xl/worksheets/sheet2.xml><?xml version="1.0" encoding="utf-8"?>
<worksheet xmlns="http://schemas.openxmlformats.org/spreadsheetml/2006/main">
  <sheetPr filterMode="0">
    <tabColor rgb="FF36294F"/>
    <outlinePr summaryBelow="1" summaryRight="1"/>
    <pageSetUpPr fitToPage="1"/>
  </sheetPr>
  <dimension ref="A1:T204"/>
  <sheetViews>
    <sheetView showFormulas="0" showGridLines="0" showRowColHeaders="1" showZeros="1" rightToLeft="0" tabSelected="0"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6796875" defaultRowHeight="15" zeroHeight="0" outlineLevelRow="0"/>
  <cols>
    <col width="7" customWidth="1" style="40" min="1" max="1"/>
    <col width="16" customWidth="1" style="40" min="2" max="3"/>
    <col width="20" customWidth="1" style="40" min="4" max="4"/>
    <col width="42" customWidth="1" style="40" min="5" max="5"/>
    <col width="18" customWidth="1" style="40" min="6" max="6"/>
    <col width="11" customWidth="1" style="40" min="7" max="8"/>
    <col width="12" customWidth="1" style="40" min="9" max="9"/>
    <col width="11" customWidth="1" style="40" min="10" max="10"/>
    <col width="12" customWidth="1" style="40" min="11" max="14"/>
    <col width="15" customWidth="1" style="40" min="15" max="15"/>
    <col width="22" customWidth="1" style="40" min="16" max="17"/>
    <col width="11" customWidth="1" style="40" min="18" max="18"/>
    <col width="12" customWidth="1" style="40" min="19" max="19"/>
    <col width="30" customWidth="1" style="40" min="20" max="20"/>
  </cols>
  <sheetData>
    <row r="1" ht="19.7" customHeight="1" s="41">
      <c r="A1" s="49" t="inlineStr">
        <is>
          <t>Work Taxonomy: Task Map</t>
        </is>
      </c>
    </row>
    <row r="2" ht="15" customHeight="1" s="41">
      <c r="A2" s="50" t="inlineStr">
        <is>
          <t>HOW TO USE THIS TAB: One row per task. Type only in the yellow cells; teal columns calculate. Fill in the four levels, how often the task happens, and how long it takes, then mark Keep, Simplify, or Cut. The recruiting rows are an example; replace them.</t>
        </is>
      </c>
    </row>
    <row r="3" ht="15" customHeight="1" s="41">
      <c r="A3" s="51" t="inlineStr">
        <is>
          <t>© 2026 Elizabeth A. Corey. All rights reserved. GROWTH Execution Model™. onthegrow.ai</t>
        </is>
      </c>
    </row>
    <row r="4" ht="43.5" customHeight="1" s="41">
      <c r="A4" s="52" t="inlineStr">
        <is>
          <t>ID</t>
        </is>
      </c>
      <c r="B4" s="52" t="inlineStr">
        <is>
          <t>L1 Function</t>
        </is>
      </c>
      <c r="C4" s="52" t="inlineStr">
        <is>
          <t>L2 Process</t>
        </is>
      </c>
      <c r="D4" s="52" t="inlineStr">
        <is>
          <t>L3 Activity</t>
        </is>
      </c>
      <c r="E4" s="52" t="inlineStr">
        <is>
          <t>L4 Task</t>
        </is>
      </c>
      <c r="F4" s="52" t="inlineStr">
        <is>
          <t>Who does it today</t>
        </is>
      </c>
      <c r="G4" s="52" t="inlineStr">
        <is>
          <t>Times per month</t>
        </is>
      </c>
      <c r="H4" s="52" t="inlineStr">
        <is>
          <t>Minutes each time</t>
        </is>
      </c>
      <c r="I4" s="52" t="inlineStr">
        <is>
          <t>How much it varies</t>
        </is>
      </c>
      <c r="J4" s="53" t="inlineStr">
        <is>
          <t>Hours per month</t>
        </is>
      </c>
      <c r="K4" s="53" t="inlineStr">
        <is>
          <t>Cost per month ($)</t>
        </is>
      </c>
      <c r="L4" s="52" t="inlineStr">
        <is>
          <t>Manual or repetitive?</t>
        </is>
      </c>
      <c r="M4" s="52" t="inlineStr">
        <is>
          <t>Creates a bottleneck?</t>
        </is>
      </c>
      <c r="N4" s="52" t="inlineStr">
        <is>
          <t>Standardized?</t>
        </is>
      </c>
      <c r="O4" s="52" t="inlineStr">
        <is>
          <t>Needs judgment, relationships, or context?</t>
        </is>
      </c>
      <c r="P4" s="52" t="inlineStr">
        <is>
          <t>Capability required</t>
        </is>
      </c>
      <c r="Q4" s="52" t="inlineStr">
        <is>
          <t>Value it creates</t>
        </is>
      </c>
      <c r="R4" s="52" t="inlineStr">
        <is>
          <t>Legally required?</t>
        </is>
      </c>
      <c r="S4" s="52" t="inlineStr">
        <is>
          <t>Should it exist?</t>
        </is>
      </c>
      <c r="T4" s="52" t="inlineStr">
        <is>
          <t>Notes</t>
        </is>
      </c>
    </row>
    <row r="5" ht="32.8" customHeight="1" s="41">
      <c r="A5" s="54" t="inlineStr">
        <is>
          <t>T001</t>
        </is>
      </c>
      <c r="B5" s="54" t="inlineStr">
        <is>
          <t>HR</t>
        </is>
      </c>
      <c r="C5" s="54" t="inlineStr">
        <is>
          <t>Recruiting</t>
        </is>
      </c>
      <c r="D5" s="54" t="inlineStr">
        <is>
          <t>Plan the hire</t>
        </is>
      </c>
      <c r="E5" s="54" t="inlineStr">
        <is>
          <t>Write the performance profile with the hiring manager</t>
        </is>
      </c>
      <c r="F5" s="54" t="inlineStr">
        <is>
          <t>Recruiter</t>
        </is>
      </c>
      <c r="G5" s="54" t="n">
        <v>4</v>
      </c>
      <c r="H5" s="54" t="n">
        <v>90</v>
      </c>
      <c r="I5" s="54" t="inlineStr">
        <is>
          <t>Medium</t>
        </is>
      </c>
      <c r="J5" s="55">
        <f>IF(OR(G5="",H5=""),"",G5*H5/60)</f>
        <v/>
      </c>
      <c r="K5" s="56">
        <f>IF(J5="","",J5*Summary!$C$6)</f>
        <v/>
      </c>
      <c r="L5" s="54" t="inlineStr">
        <is>
          <t>N</t>
        </is>
      </c>
      <c r="M5" s="54" t="inlineStr">
        <is>
          <t>N</t>
        </is>
      </c>
      <c r="N5" s="54" t="inlineStr">
        <is>
          <t>N</t>
        </is>
      </c>
      <c r="O5" s="54" t="inlineStr">
        <is>
          <t>Y</t>
        </is>
      </c>
      <c r="P5" s="54" t="inlineStr">
        <is>
          <t>Defining outcomes for the role</t>
        </is>
      </c>
      <c r="Q5" s="54" t="inlineStr">
        <is>
          <t>Clear standard every candidate is measured against</t>
        </is>
      </c>
      <c r="R5" s="54" t="inlineStr">
        <is>
          <t>N</t>
        </is>
      </c>
      <c r="S5" s="54" t="inlineStr">
        <is>
          <t>Keep</t>
        </is>
      </c>
      <c r="T5" s="54" t="n"/>
    </row>
    <row r="6" ht="22.35" customHeight="1" s="41">
      <c r="A6" s="54" t="inlineStr">
        <is>
          <t>T002</t>
        </is>
      </c>
      <c r="B6" s="54" t="inlineStr">
        <is>
          <t>HR</t>
        </is>
      </c>
      <c r="C6" s="54" t="inlineStr">
        <is>
          <t>Recruiting</t>
        </is>
      </c>
      <c r="D6" s="54" t="inlineStr">
        <is>
          <t>Plan the hire</t>
        </is>
      </c>
      <c r="E6" s="54" t="inlineStr">
        <is>
          <t>Draft and post the job posting</t>
        </is>
      </c>
      <c r="F6" s="54" t="inlineStr">
        <is>
          <t>Recruiter</t>
        </is>
      </c>
      <c r="G6" s="54" t="n">
        <v>4</v>
      </c>
      <c r="H6" s="54" t="n">
        <v>60</v>
      </c>
      <c r="I6" s="54" t="inlineStr">
        <is>
          <t>Low</t>
        </is>
      </c>
      <c r="J6" s="55">
        <f>IF(OR(G6="",H6=""),"",G6*H6/60)</f>
        <v/>
      </c>
      <c r="K6" s="56">
        <f>IF(J6="","",J6*Summary!$C$6)</f>
        <v/>
      </c>
      <c r="L6" s="54" t="inlineStr">
        <is>
          <t>Y</t>
        </is>
      </c>
      <c r="M6" s="54" t="inlineStr">
        <is>
          <t>N</t>
        </is>
      </c>
      <c r="N6" s="54" t="inlineStr">
        <is>
          <t>Y</t>
        </is>
      </c>
      <c r="O6" s="54" t="inlineStr">
        <is>
          <t>N</t>
        </is>
      </c>
      <c r="P6" s="54" t="inlineStr">
        <is>
          <t>Writing to the performance profile</t>
        </is>
      </c>
      <c r="Q6" s="54" t="inlineStr">
        <is>
          <t>Attracts the right applicants</t>
        </is>
      </c>
      <c r="R6" s="54" t="inlineStr">
        <is>
          <t>N</t>
        </is>
      </c>
      <c r="S6" s="54" t="inlineStr">
        <is>
          <t>Keep</t>
        </is>
      </c>
      <c r="T6" s="54" t="n"/>
    </row>
    <row r="7" ht="15" customHeight="1" s="41">
      <c r="A7" s="54" t="inlineStr">
        <is>
          <t>T003</t>
        </is>
      </c>
      <c r="B7" s="54" t="inlineStr">
        <is>
          <t>HR</t>
        </is>
      </c>
      <c r="C7" s="54" t="inlineStr">
        <is>
          <t>Recruiting</t>
        </is>
      </c>
      <c r="D7" s="54" t="inlineStr">
        <is>
          <t>Source candidates</t>
        </is>
      </c>
      <c r="E7" s="54" t="inlineStr">
        <is>
          <t>Search job boards and build a long list</t>
        </is>
      </c>
      <c r="F7" s="54" t="inlineStr">
        <is>
          <t>Sourcer</t>
        </is>
      </c>
      <c r="G7" s="54" t="n">
        <v>8</v>
      </c>
      <c r="H7" s="54" t="n">
        <v>120</v>
      </c>
      <c r="I7" s="54" t="inlineStr">
        <is>
          <t>Medium</t>
        </is>
      </c>
      <c r="J7" s="55">
        <f>IF(OR(G7="",H7=""),"",G7*H7/60)</f>
        <v/>
      </c>
      <c r="K7" s="56">
        <f>IF(J7="","",J7*Summary!$C$6)</f>
        <v/>
      </c>
      <c r="L7" s="54" t="inlineStr">
        <is>
          <t>Y</t>
        </is>
      </c>
      <c r="M7" s="54" t="inlineStr">
        <is>
          <t>Y</t>
        </is>
      </c>
      <c r="N7" s="54" t="inlineStr">
        <is>
          <t>N</t>
        </is>
      </c>
      <c r="O7" s="54" t="inlineStr">
        <is>
          <t>N</t>
        </is>
      </c>
      <c r="P7" s="54" t="inlineStr">
        <is>
          <t>Search and pattern matching</t>
        </is>
      </c>
      <c r="Q7" s="54" t="inlineStr">
        <is>
          <t>A pool to choose from</t>
        </is>
      </c>
      <c r="R7" s="54" t="inlineStr">
        <is>
          <t>N</t>
        </is>
      </c>
      <c r="S7" s="54" t="inlineStr">
        <is>
          <t>Keep</t>
        </is>
      </c>
      <c r="T7" s="54" t="n"/>
    </row>
    <row r="8" ht="22.35" customHeight="1" s="41">
      <c r="A8" s="54" t="inlineStr">
        <is>
          <t>T004</t>
        </is>
      </c>
      <c r="B8" s="54" t="inlineStr">
        <is>
          <t>HR</t>
        </is>
      </c>
      <c r="C8" s="54" t="inlineStr">
        <is>
          <t>Recruiting</t>
        </is>
      </c>
      <c r="D8" s="54" t="inlineStr">
        <is>
          <t>Screen candidates</t>
        </is>
      </c>
      <c r="E8" s="54" t="inlineStr">
        <is>
          <t>Rank applicants against the performance profile</t>
        </is>
      </c>
      <c r="F8" s="54" t="inlineStr">
        <is>
          <t>Recruiter</t>
        </is>
      </c>
      <c r="G8" s="54" t="n">
        <v>300</v>
      </c>
      <c r="H8" s="54" t="n">
        <v>3</v>
      </c>
      <c r="I8" s="54" t="inlineStr">
        <is>
          <t>High</t>
        </is>
      </c>
      <c r="J8" s="55">
        <f>IF(OR(G8="",H8=""),"",G8*H8/60)</f>
        <v/>
      </c>
      <c r="K8" s="56">
        <f>IF(J8="","",J8*Summary!$C$6)</f>
        <v/>
      </c>
      <c r="L8" s="54" t="inlineStr">
        <is>
          <t>Y</t>
        </is>
      </c>
      <c r="M8" s="54" t="inlineStr">
        <is>
          <t>Y</t>
        </is>
      </c>
      <c r="N8" s="54" t="inlineStr">
        <is>
          <t>N</t>
        </is>
      </c>
      <c r="O8" s="54" t="inlineStr">
        <is>
          <t>Y</t>
        </is>
      </c>
      <c r="P8" s="54" t="inlineStr">
        <is>
          <t>Judgment against a written standard</t>
        </is>
      </c>
      <c r="Q8" s="54" t="inlineStr">
        <is>
          <t>A fair, fast shortlist</t>
        </is>
      </c>
      <c r="R8" s="54" t="inlineStr">
        <is>
          <t>N</t>
        </is>
      </c>
      <c r="S8" s="54" t="inlineStr">
        <is>
          <t>Keep</t>
        </is>
      </c>
      <c r="T8" s="54" t="n"/>
    </row>
    <row r="9" ht="22.35" customHeight="1" s="41">
      <c r="A9" s="54" t="inlineStr">
        <is>
          <t>T005</t>
        </is>
      </c>
      <c r="B9" s="54" t="inlineStr">
        <is>
          <t>HR</t>
        </is>
      </c>
      <c r="C9" s="54" t="inlineStr">
        <is>
          <t>Recruiting</t>
        </is>
      </c>
      <c r="D9" s="54" t="inlineStr">
        <is>
          <t>Screen candidates</t>
        </is>
      </c>
      <c r="E9" s="54" t="inlineStr">
        <is>
          <t>Conduct phone screens</t>
        </is>
      </c>
      <c r="F9" s="54" t="inlineStr">
        <is>
          <t>Recruiter</t>
        </is>
      </c>
      <c r="G9" s="54" t="n">
        <v>40</v>
      </c>
      <c r="H9" s="54" t="n">
        <v>30</v>
      </c>
      <c r="I9" s="54" t="inlineStr">
        <is>
          <t>Medium</t>
        </is>
      </c>
      <c r="J9" s="55">
        <f>IF(OR(G9="",H9=""),"",G9*H9/60)</f>
        <v/>
      </c>
      <c r="K9" s="56">
        <f>IF(J9="","",J9*Summary!$C$6)</f>
        <v/>
      </c>
      <c r="L9" s="54" t="inlineStr">
        <is>
          <t>N</t>
        </is>
      </c>
      <c r="M9" s="54" t="inlineStr">
        <is>
          <t>N</t>
        </is>
      </c>
      <c r="N9" s="54" t="inlineStr">
        <is>
          <t>N</t>
        </is>
      </c>
      <c r="O9" s="54" t="inlineStr">
        <is>
          <t>Y</t>
        </is>
      </c>
      <c r="P9" s="54" t="inlineStr">
        <is>
          <t>Interviewing and listening</t>
        </is>
      </c>
      <c r="Q9" s="54" t="inlineStr">
        <is>
          <t>Real read on fit and motivation</t>
        </is>
      </c>
      <c r="R9" s="54" t="inlineStr">
        <is>
          <t>N</t>
        </is>
      </c>
      <c r="S9" s="54" t="inlineStr">
        <is>
          <t>Keep</t>
        </is>
      </c>
      <c r="T9" s="54" t="n"/>
    </row>
    <row r="10" ht="22.35" customHeight="1" s="41">
      <c r="A10" s="54" t="inlineStr">
        <is>
          <t>T006</t>
        </is>
      </c>
      <c r="B10" s="54" t="inlineStr">
        <is>
          <t>HR</t>
        </is>
      </c>
      <c r="C10" s="54" t="inlineStr">
        <is>
          <t>Recruiting</t>
        </is>
      </c>
      <c r="D10" s="54" t="inlineStr">
        <is>
          <t>Screen candidates</t>
        </is>
      </c>
      <c r="E10" s="54" t="inlineStr">
        <is>
          <t>Enter candidate disposition in the applicant tracking system</t>
        </is>
      </c>
      <c r="F10" s="54" t="inlineStr">
        <is>
          <t>Recruiting coordinator</t>
        </is>
      </c>
      <c r="G10" s="54" t="n">
        <v>300</v>
      </c>
      <c r="H10" s="54" t="n">
        <v>1</v>
      </c>
      <c r="I10" s="54" t="inlineStr">
        <is>
          <t>Low</t>
        </is>
      </c>
      <c r="J10" s="55">
        <f>IF(OR(G10="",H10=""),"",G10*H10/60)</f>
        <v/>
      </c>
      <c r="K10" s="56">
        <f>IF(J10="","",J10*Summary!$C$6)</f>
        <v/>
      </c>
      <c r="L10" s="54" t="inlineStr">
        <is>
          <t>Y</t>
        </is>
      </c>
      <c r="M10" s="54" t="inlineStr">
        <is>
          <t>N</t>
        </is>
      </c>
      <c r="N10" s="54" t="inlineStr">
        <is>
          <t>Y</t>
        </is>
      </c>
      <c r="O10" s="54" t="inlineStr">
        <is>
          <t>N</t>
        </is>
      </c>
      <c r="P10" s="54" t="inlineStr">
        <is>
          <t>System entry</t>
        </is>
      </c>
      <c r="Q10" s="54" t="inlineStr">
        <is>
          <t>Clean records</t>
        </is>
      </c>
      <c r="R10" s="54" t="inlineStr">
        <is>
          <t>Y</t>
        </is>
      </c>
      <c r="S10" s="54" t="inlineStr">
        <is>
          <t>Keep</t>
        </is>
      </c>
      <c r="T10" s="54" t="n"/>
    </row>
    <row r="11" ht="22.35" customHeight="1" s="41">
      <c r="A11" s="54" t="inlineStr">
        <is>
          <t>T007</t>
        </is>
      </c>
      <c r="B11" s="54" t="inlineStr">
        <is>
          <t>HR</t>
        </is>
      </c>
      <c r="C11" s="54" t="inlineStr">
        <is>
          <t>Recruiting</t>
        </is>
      </c>
      <c r="D11" s="54" t="inlineStr">
        <is>
          <t>Interview</t>
        </is>
      </c>
      <c r="E11" s="54" t="inlineStr">
        <is>
          <t>Schedule interviews across calendars, including reschedules</t>
        </is>
      </c>
      <c r="F11" s="54" t="inlineStr">
        <is>
          <t>Recruiting coordinator</t>
        </is>
      </c>
      <c r="G11" s="54" t="n">
        <v>60</v>
      </c>
      <c r="H11" s="54" t="n">
        <v>20</v>
      </c>
      <c r="I11" s="54" t="inlineStr">
        <is>
          <t>High</t>
        </is>
      </c>
      <c r="J11" s="55">
        <f>IF(OR(G11="",H11=""),"",G11*H11/60)</f>
        <v/>
      </c>
      <c r="K11" s="56">
        <f>IF(J11="","",J11*Summary!$C$6)</f>
        <v/>
      </c>
      <c r="L11" s="54" t="inlineStr">
        <is>
          <t>Y</t>
        </is>
      </c>
      <c r="M11" s="54" t="inlineStr">
        <is>
          <t>Y</t>
        </is>
      </c>
      <c r="N11" s="54" t="inlineStr">
        <is>
          <t>Y</t>
        </is>
      </c>
      <c r="O11" s="54" t="inlineStr">
        <is>
          <t>N</t>
        </is>
      </c>
      <c r="P11" s="54" t="inlineStr">
        <is>
          <t>Coordination</t>
        </is>
      </c>
      <c r="Q11" s="54" t="inlineStr">
        <is>
          <t>Interviews happen on time</t>
        </is>
      </c>
      <c r="R11" s="54" t="inlineStr">
        <is>
          <t>N</t>
        </is>
      </c>
      <c r="S11" s="54" t="inlineStr">
        <is>
          <t>Keep</t>
        </is>
      </c>
      <c r="T11" s="54" t="n"/>
    </row>
    <row r="12" ht="15" customHeight="1" s="41">
      <c r="A12" s="54" t="inlineStr">
        <is>
          <t>T008</t>
        </is>
      </c>
      <c r="B12" s="54" t="inlineStr">
        <is>
          <t>HR</t>
        </is>
      </c>
      <c r="C12" s="54" t="inlineStr">
        <is>
          <t>Recruiting</t>
        </is>
      </c>
      <c r="D12" s="54" t="inlineStr">
        <is>
          <t>Interview</t>
        </is>
      </c>
      <c r="E12" s="54" t="inlineStr">
        <is>
          <t>Send interview confirmations and reminders</t>
        </is>
      </c>
      <c r="F12" s="54" t="inlineStr">
        <is>
          <t>Recruiting coordinator</t>
        </is>
      </c>
      <c r="G12" s="54" t="n">
        <v>60</v>
      </c>
      <c r="H12" s="54" t="n">
        <v>5</v>
      </c>
      <c r="I12" s="54" t="inlineStr">
        <is>
          <t>Low</t>
        </is>
      </c>
      <c r="J12" s="55">
        <f>IF(OR(G12="",H12=""),"",G12*H12/60)</f>
        <v/>
      </c>
      <c r="K12" s="56">
        <f>IF(J12="","",J12*Summary!$C$6)</f>
        <v/>
      </c>
      <c r="L12" s="54" t="inlineStr">
        <is>
          <t>Y</t>
        </is>
      </c>
      <c r="M12" s="54" t="inlineStr">
        <is>
          <t>N</t>
        </is>
      </c>
      <c r="N12" s="54" t="inlineStr">
        <is>
          <t>Y</t>
        </is>
      </c>
      <c r="O12" s="54" t="inlineStr">
        <is>
          <t>N</t>
        </is>
      </c>
      <c r="P12" s="54" t="inlineStr">
        <is>
          <t>System entry</t>
        </is>
      </c>
      <c r="Q12" s="54" t="inlineStr">
        <is>
          <t>Fewer no-shows</t>
        </is>
      </c>
      <c r="R12" s="54" t="inlineStr">
        <is>
          <t>N</t>
        </is>
      </c>
      <c r="S12" s="54" t="inlineStr">
        <is>
          <t>Keep</t>
        </is>
      </c>
      <c r="T12" s="54" t="n"/>
    </row>
    <row r="13" ht="22.35" customHeight="1" s="41">
      <c r="A13" s="54" t="inlineStr">
        <is>
          <t>T009</t>
        </is>
      </c>
      <c r="B13" s="54" t="inlineStr">
        <is>
          <t>HR</t>
        </is>
      </c>
      <c r="C13" s="54" t="inlineStr">
        <is>
          <t>Recruiting</t>
        </is>
      </c>
      <c r="D13" s="54" t="inlineStr">
        <is>
          <t>Interview</t>
        </is>
      </c>
      <c r="E13" s="54" t="inlineStr">
        <is>
          <t>Collect and compile interviewer feedback</t>
        </is>
      </c>
      <c r="F13" s="54" t="inlineStr">
        <is>
          <t>Recruiter</t>
        </is>
      </c>
      <c r="G13" s="54" t="n">
        <v>20</v>
      </c>
      <c r="H13" s="54" t="n">
        <v>30</v>
      </c>
      <c r="I13" s="54" t="inlineStr">
        <is>
          <t>Medium</t>
        </is>
      </c>
      <c r="J13" s="55">
        <f>IF(OR(G13="",H13=""),"",G13*H13/60)</f>
        <v/>
      </c>
      <c r="K13" s="56">
        <f>IF(J13="","",J13*Summary!$C$6)</f>
        <v/>
      </c>
      <c r="L13" s="54" t="inlineStr">
        <is>
          <t>Y</t>
        </is>
      </c>
      <c r="M13" s="54" t="inlineStr">
        <is>
          <t>Y</t>
        </is>
      </c>
      <c r="N13" s="54" t="inlineStr">
        <is>
          <t>N</t>
        </is>
      </c>
      <c r="O13" s="54" t="inlineStr">
        <is>
          <t>N</t>
        </is>
      </c>
      <c r="P13" s="54" t="inlineStr">
        <is>
          <t>Summarizing against the scorecard</t>
        </is>
      </c>
      <c r="Q13" s="54" t="inlineStr">
        <is>
          <t>Evidence for the decision</t>
        </is>
      </c>
      <c r="R13" s="54" t="inlineStr">
        <is>
          <t>N</t>
        </is>
      </c>
      <c r="S13" s="54" t="inlineStr">
        <is>
          <t>Keep</t>
        </is>
      </c>
      <c r="T13" s="54" t="n"/>
    </row>
    <row r="14" ht="22.35" customHeight="1" s="41">
      <c r="A14" s="54" t="inlineStr">
        <is>
          <t>T010</t>
        </is>
      </c>
      <c r="B14" s="54" t="inlineStr">
        <is>
          <t>HR</t>
        </is>
      </c>
      <c r="C14" s="54" t="inlineStr">
        <is>
          <t>Recruiting</t>
        </is>
      </c>
      <c r="D14" s="54" t="inlineStr">
        <is>
          <t>Interview</t>
        </is>
      </c>
      <c r="E14" s="54" t="inlineStr">
        <is>
          <t>Print interview packets for each panel</t>
        </is>
      </c>
      <c r="F14" s="54" t="inlineStr">
        <is>
          <t>Recruiting coordinator</t>
        </is>
      </c>
      <c r="G14" s="54" t="n">
        <v>20</v>
      </c>
      <c r="H14" s="54" t="n">
        <v>15</v>
      </c>
      <c r="I14" s="54" t="inlineStr">
        <is>
          <t>Low</t>
        </is>
      </c>
      <c r="J14" s="55">
        <f>IF(OR(G14="",H14=""),"",G14*H14/60)</f>
        <v/>
      </c>
      <c r="K14" s="56">
        <f>IF(J14="","",J14*Summary!$C$6)</f>
        <v/>
      </c>
      <c r="L14" s="54" t="inlineStr">
        <is>
          <t>Y</t>
        </is>
      </c>
      <c r="M14" s="54" t="inlineStr">
        <is>
          <t>N</t>
        </is>
      </c>
      <c r="N14" s="54" t="inlineStr">
        <is>
          <t>Y</t>
        </is>
      </c>
      <c r="O14" s="54" t="inlineStr">
        <is>
          <t>N</t>
        </is>
      </c>
      <c r="P14" s="54" t="inlineStr">
        <is>
          <t>Printing</t>
        </is>
      </c>
      <c r="Q14" s="54" t="inlineStr">
        <is>
          <t>None; the panel has the files digitally</t>
        </is>
      </c>
      <c r="R14" s="54" t="inlineStr">
        <is>
          <t>N</t>
        </is>
      </c>
      <c r="S14" s="54" t="inlineStr">
        <is>
          <t>Cut</t>
        </is>
      </c>
      <c r="T14" s="54" t="n"/>
    </row>
    <row r="15" ht="15" customHeight="1" s="41">
      <c r="A15" s="54" t="inlineStr">
        <is>
          <t>T011</t>
        </is>
      </c>
      <c r="B15" s="54" t="inlineStr">
        <is>
          <t>HR</t>
        </is>
      </c>
      <c r="C15" s="54" t="inlineStr">
        <is>
          <t>Recruiting</t>
        </is>
      </c>
      <c r="D15" s="54" t="inlineStr">
        <is>
          <t>Close the hire</t>
        </is>
      </c>
      <c r="E15" s="54" t="inlineStr">
        <is>
          <t>Make the final hiring decision</t>
        </is>
      </c>
      <c r="F15" s="54" t="inlineStr">
        <is>
          <t>Hiring manager</t>
        </is>
      </c>
      <c r="G15" s="54" t="n">
        <v>4</v>
      </c>
      <c r="H15" s="54" t="n">
        <v>60</v>
      </c>
      <c r="I15" s="54" t="inlineStr">
        <is>
          <t>Medium</t>
        </is>
      </c>
      <c r="J15" s="55">
        <f>IF(OR(G15="",H15=""),"",G15*H15/60)</f>
        <v/>
      </c>
      <c r="K15" s="56">
        <f>IF(J15="","",J15*Summary!$C$6)</f>
        <v/>
      </c>
      <c r="L15" s="54" t="inlineStr">
        <is>
          <t>N</t>
        </is>
      </c>
      <c r="M15" s="54" t="inlineStr">
        <is>
          <t>N</t>
        </is>
      </c>
      <c r="N15" s="54" t="inlineStr">
        <is>
          <t>N</t>
        </is>
      </c>
      <c r="O15" s="54" t="inlineStr">
        <is>
          <t>Y</t>
        </is>
      </c>
      <c r="P15" s="54" t="inlineStr">
        <is>
          <t>Judgment and accountability</t>
        </is>
      </c>
      <c r="Q15" s="54" t="inlineStr">
        <is>
          <t>The right person in the seat</t>
        </is>
      </c>
      <c r="R15" s="54" t="inlineStr">
        <is>
          <t>N</t>
        </is>
      </c>
      <c r="S15" s="54" t="inlineStr">
        <is>
          <t>Keep</t>
        </is>
      </c>
      <c r="T15" s="54" t="n"/>
    </row>
    <row r="16" ht="15" customHeight="1" s="41">
      <c r="A16" s="54" t="inlineStr">
        <is>
          <t>T012</t>
        </is>
      </c>
      <c r="B16" s="54" t="inlineStr">
        <is>
          <t>HR</t>
        </is>
      </c>
      <c r="C16" s="54" t="inlineStr">
        <is>
          <t>Recruiting</t>
        </is>
      </c>
      <c r="D16" s="54" t="inlineStr">
        <is>
          <t>Close the hire</t>
        </is>
      </c>
      <c r="E16" s="54" t="inlineStr">
        <is>
          <t>Prepare the offer letter from approved terms</t>
        </is>
      </c>
      <c r="F16" s="54" t="inlineStr">
        <is>
          <t>Recruiter</t>
        </is>
      </c>
      <c r="G16" s="54" t="n">
        <v>4</v>
      </c>
      <c r="H16" s="54" t="n">
        <v>30</v>
      </c>
      <c r="I16" s="54" t="inlineStr">
        <is>
          <t>Low</t>
        </is>
      </c>
      <c r="J16" s="55">
        <f>IF(OR(G16="",H16=""),"",G16*H16/60)</f>
        <v/>
      </c>
      <c r="K16" s="56">
        <f>IF(J16="","",J16*Summary!$C$6)</f>
        <v/>
      </c>
      <c r="L16" s="54" t="inlineStr">
        <is>
          <t>Y</t>
        </is>
      </c>
      <c r="M16" s="54" t="inlineStr">
        <is>
          <t>N</t>
        </is>
      </c>
      <c r="N16" s="54" t="inlineStr">
        <is>
          <t>Y</t>
        </is>
      </c>
      <c r="O16" s="54" t="inlineStr">
        <is>
          <t>N</t>
        </is>
      </c>
      <c r="P16" s="54" t="inlineStr">
        <is>
          <t>Accuracy with pay terms</t>
        </is>
      </c>
      <c r="Q16" s="54" t="inlineStr">
        <is>
          <t>A correct, timely offer</t>
        </is>
      </c>
      <c r="R16" s="54" t="inlineStr">
        <is>
          <t>Y</t>
        </is>
      </c>
      <c r="S16" s="54" t="inlineStr">
        <is>
          <t>Keep</t>
        </is>
      </c>
      <c r="T16" s="54" t="n"/>
    </row>
    <row r="17" ht="15" customHeight="1" s="41">
      <c r="A17" s="54" t="n"/>
      <c r="B17" s="54" t="n"/>
      <c r="C17" s="54" t="n"/>
      <c r="D17" s="54" t="n"/>
      <c r="E17" s="54" t="n"/>
      <c r="F17" s="54" t="n"/>
      <c r="G17" s="54" t="n"/>
      <c r="H17" s="54" t="n"/>
      <c r="I17" s="54" t="n"/>
      <c r="J17" s="55">
        <f>IF(OR(G17="",H17=""),"",G17*H17/60)</f>
        <v/>
      </c>
      <c r="K17" s="56">
        <f>IF(J17="","",J17*Summary!$C$6)</f>
        <v/>
      </c>
      <c r="L17" s="54" t="n"/>
      <c r="M17" s="54" t="n"/>
      <c r="N17" s="54" t="n"/>
      <c r="O17" s="54" t="n"/>
      <c r="P17" s="54" t="n"/>
      <c r="Q17" s="54" t="n"/>
      <c r="R17" s="54" t="n"/>
      <c r="S17" s="54" t="n"/>
      <c r="T17" s="54" t="n"/>
    </row>
    <row r="18" ht="15" customHeight="1" s="41">
      <c r="A18" s="54" t="n"/>
      <c r="B18" s="54" t="n"/>
      <c r="C18" s="54" t="n"/>
      <c r="D18" s="54" t="n"/>
      <c r="E18" s="54" t="n"/>
      <c r="F18" s="54" t="n"/>
      <c r="G18" s="54" t="n"/>
      <c r="H18" s="54" t="n"/>
      <c r="I18" s="54" t="n"/>
      <c r="J18" s="55">
        <f>IF(OR(G18="",H18=""),"",G18*H18/60)</f>
        <v/>
      </c>
      <c r="K18" s="56">
        <f>IF(J18="","",J18*Summary!$C$6)</f>
        <v/>
      </c>
      <c r="L18" s="54" t="n"/>
      <c r="M18" s="54" t="n"/>
      <c r="N18" s="54" t="n"/>
      <c r="O18" s="54" t="n"/>
      <c r="P18" s="54" t="n"/>
      <c r="Q18" s="54" t="n"/>
      <c r="R18" s="54" t="n"/>
      <c r="S18" s="54" t="n"/>
      <c r="T18" s="54" t="n"/>
    </row>
    <row r="19" ht="15" customHeight="1" s="41">
      <c r="A19" s="54" t="n"/>
      <c r="B19" s="54" t="n"/>
      <c r="C19" s="54" t="n"/>
      <c r="D19" s="54" t="n"/>
      <c r="E19" s="54" t="n"/>
      <c r="F19" s="54" t="n"/>
      <c r="G19" s="54" t="n"/>
      <c r="H19" s="54" t="n"/>
      <c r="I19" s="54" t="n"/>
      <c r="J19" s="55">
        <f>IF(OR(G19="",H19=""),"",G19*H19/60)</f>
        <v/>
      </c>
      <c r="K19" s="56">
        <f>IF(J19="","",J19*Summary!$C$6)</f>
        <v/>
      </c>
      <c r="L19" s="54" t="n"/>
      <c r="M19" s="54" t="n"/>
      <c r="N19" s="54" t="n"/>
      <c r="O19" s="54" t="n"/>
      <c r="P19" s="54" t="n"/>
      <c r="Q19" s="54" t="n"/>
      <c r="R19" s="54" t="n"/>
      <c r="S19" s="54" t="n"/>
      <c r="T19" s="54" t="n"/>
    </row>
    <row r="20" ht="15" customHeight="1" s="41">
      <c r="A20" s="54" t="n"/>
      <c r="B20" s="54" t="n"/>
      <c r="C20" s="54" t="n"/>
      <c r="D20" s="54" t="n"/>
      <c r="E20" s="54" t="n"/>
      <c r="F20" s="54" t="n"/>
      <c r="G20" s="54" t="n"/>
      <c r="H20" s="54" t="n"/>
      <c r="I20" s="54" t="n"/>
      <c r="J20" s="55">
        <f>IF(OR(G20="",H20=""),"",G20*H20/60)</f>
        <v/>
      </c>
      <c r="K20" s="56">
        <f>IF(J20="","",J20*Summary!$C$6)</f>
        <v/>
      </c>
      <c r="L20" s="54" t="n"/>
      <c r="M20" s="54" t="n"/>
      <c r="N20" s="54" t="n"/>
      <c r="O20" s="54" t="n"/>
      <c r="P20" s="54" t="n"/>
      <c r="Q20" s="54" t="n"/>
      <c r="R20" s="54" t="n"/>
      <c r="S20" s="54" t="n"/>
      <c r="T20" s="54" t="n"/>
    </row>
    <row r="21" ht="15" customHeight="1" s="41">
      <c r="A21" s="54" t="n"/>
      <c r="B21" s="54" t="n"/>
      <c r="C21" s="54" t="n"/>
      <c r="D21" s="54" t="n"/>
      <c r="E21" s="54" t="n"/>
      <c r="F21" s="54" t="n"/>
      <c r="G21" s="54" t="n"/>
      <c r="H21" s="54" t="n"/>
      <c r="I21" s="54" t="n"/>
      <c r="J21" s="55">
        <f>IF(OR(G21="",H21=""),"",G21*H21/60)</f>
        <v/>
      </c>
      <c r="K21" s="56">
        <f>IF(J21="","",J21*Summary!$C$6)</f>
        <v/>
      </c>
      <c r="L21" s="54" t="n"/>
      <c r="M21" s="54" t="n"/>
      <c r="N21" s="54" t="n"/>
      <c r="O21" s="54" t="n"/>
      <c r="P21" s="54" t="n"/>
      <c r="Q21" s="54" t="n"/>
      <c r="R21" s="54" t="n"/>
      <c r="S21" s="54" t="n"/>
      <c r="T21" s="54" t="n"/>
    </row>
    <row r="22" ht="15" customHeight="1" s="41">
      <c r="A22" s="54" t="n"/>
      <c r="B22" s="54" t="n"/>
      <c r="C22" s="54" t="n"/>
      <c r="D22" s="54" t="n"/>
      <c r="E22" s="54" t="n"/>
      <c r="F22" s="54" t="n"/>
      <c r="G22" s="54" t="n"/>
      <c r="H22" s="54" t="n"/>
      <c r="I22" s="54" t="n"/>
      <c r="J22" s="55">
        <f>IF(OR(G22="",H22=""),"",G22*H22/60)</f>
        <v/>
      </c>
      <c r="K22" s="56">
        <f>IF(J22="","",J22*Summary!$C$6)</f>
        <v/>
      </c>
      <c r="L22" s="54" t="n"/>
      <c r="M22" s="54" t="n"/>
      <c r="N22" s="54" t="n"/>
      <c r="O22" s="54" t="n"/>
      <c r="P22" s="54" t="n"/>
      <c r="Q22" s="54" t="n"/>
      <c r="R22" s="54" t="n"/>
      <c r="S22" s="54" t="n"/>
      <c r="T22" s="54" t="n"/>
    </row>
    <row r="23" ht="15" customHeight="1" s="41">
      <c r="A23" s="54" t="n"/>
      <c r="B23" s="54" t="n"/>
      <c r="C23" s="54" t="n"/>
      <c r="D23" s="54" t="n"/>
      <c r="E23" s="54" t="n"/>
      <c r="F23" s="54" t="n"/>
      <c r="G23" s="54" t="n"/>
      <c r="H23" s="54" t="n"/>
      <c r="I23" s="54" t="n"/>
      <c r="J23" s="55">
        <f>IF(OR(G23="",H23=""),"",G23*H23/60)</f>
        <v/>
      </c>
      <c r="K23" s="56">
        <f>IF(J23="","",J23*Summary!$C$6)</f>
        <v/>
      </c>
      <c r="L23" s="54" t="n"/>
      <c r="M23" s="54" t="n"/>
      <c r="N23" s="54" t="n"/>
      <c r="O23" s="54" t="n"/>
      <c r="P23" s="54" t="n"/>
      <c r="Q23" s="54" t="n"/>
      <c r="R23" s="54" t="n"/>
      <c r="S23" s="54" t="n"/>
      <c r="T23" s="54" t="n"/>
    </row>
    <row r="24" ht="15" customHeight="1" s="41">
      <c r="A24" s="54" t="n"/>
      <c r="B24" s="54" t="n"/>
      <c r="C24" s="54" t="n"/>
      <c r="D24" s="54" t="n"/>
      <c r="E24" s="54" t="n"/>
      <c r="F24" s="54" t="n"/>
      <c r="G24" s="54" t="n"/>
      <c r="H24" s="54" t="n"/>
      <c r="I24" s="54" t="n"/>
      <c r="J24" s="55">
        <f>IF(OR(G24="",H24=""),"",G24*H24/60)</f>
        <v/>
      </c>
      <c r="K24" s="56">
        <f>IF(J24="","",J24*Summary!$C$6)</f>
        <v/>
      </c>
      <c r="L24" s="54" t="n"/>
      <c r="M24" s="54" t="n"/>
      <c r="N24" s="54" t="n"/>
      <c r="O24" s="54" t="n"/>
      <c r="P24" s="54" t="n"/>
      <c r="Q24" s="54" t="n"/>
      <c r="R24" s="54" t="n"/>
      <c r="S24" s="54" t="n"/>
      <c r="T24" s="54" t="n"/>
    </row>
    <row r="25" ht="15" customHeight="1" s="41">
      <c r="A25" s="54" t="n"/>
      <c r="B25" s="54" t="n"/>
      <c r="C25" s="54" t="n"/>
      <c r="D25" s="54" t="n"/>
      <c r="E25" s="54" t="n"/>
      <c r="F25" s="54" t="n"/>
      <c r="G25" s="54" t="n"/>
      <c r="H25" s="54" t="n"/>
      <c r="I25" s="54" t="n"/>
      <c r="J25" s="55">
        <f>IF(OR(G25="",H25=""),"",G25*H25/60)</f>
        <v/>
      </c>
      <c r="K25" s="56">
        <f>IF(J25="","",J25*Summary!$C$6)</f>
        <v/>
      </c>
      <c r="L25" s="54" t="n"/>
      <c r="M25" s="54" t="n"/>
      <c r="N25" s="54" t="n"/>
      <c r="O25" s="54" t="n"/>
      <c r="P25" s="54" t="n"/>
      <c r="Q25" s="54" t="n"/>
      <c r="R25" s="54" t="n"/>
      <c r="S25" s="54" t="n"/>
      <c r="T25" s="54" t="n"/>
    </row>
    <row r="26" ht="15" customHeight="1" s="41">
      <c r="A26" s="54" t="n"/>
      <c r="B26" s="54" t="n"/>
      <c r="C26" s="54" t="n"/>
      <c r="D26" s="54" t="n"/>
      <c r="E26" s="54" t="n"/>
      <c r="F26" s="54" t="n"/>
      <c r="G26" s="54" t="n"/>
      <c r="H26" s="54" t="n"/>
      <c r="I26" s="54" t="n"/>
      <c r="J26" s="55">
        <f>IF(OR(G26="",H26=""),"",G26*H26/60)</f>
        <v/>
      </c>
      <c r="K26" s="56">
        <f>IF(J26="","",J26*Summary!$C$6)</f>
        <v/>
      </c>
      <c r="L26" s="54" t="n"/>
      <c r="M26" s="54" t="n"/>
      <c r="N26" s="54" t="n"/>
      <c r="O26" s="54" t="n"/>
      <c r="P26" s="54" t="n"/>
      <c r="Q26" s="54" t="n"/>
      <c r="R26" s="54" t="n"/>
      <c r="S26" s="54" t="n"/>
      <c r="T26" s="54" t="n"/>
    </row>
    <row r="27" ht="15" customHeight="1" s="41">
      <c r="A27" s="54" t="n"/>
      <c r="B27" s="54" t="n"/>
      <c r="C27" s="54" t="n"/>
      <c r="D27" s="54" t="n"/>
      <c r="E27" s="54" t="n"/>
      <c r="F27" s="54" t="n"/>
      <c r="G27" s="54" t="n"/>
      <c r="H27" s="54" t="n"/>
      <c r="I27" s="54" t="n"/>
      <c r="J27" s="55">
        <f>IF(OR(G27="",H27=""),"",G27*H27/60)</f>
        <v/>
      </c>
      <c r="K27" s="56">
        <f>IF(J27="","",J27*Summary!$C$6)</f>
        <v/>
      </c>
      <c r="L27" s="54" t="n"/>
      <c r="M27" s="54" t="n"/>
      <c r="N27" s="54" t="n"/>
      <c r="O27" s="54" t="n"/>
      <c r="P27" s="54" t="n"/>
      <c r="Q27" s="54" t="n"/>
      <c r="R27" s="54" t="n"/>
      <c r="S27" s="54" t="n"/>
      <c r="T27" s="54" t="n"/>
    </row>
    <row r="28" ht="15" customHeight="1" s="41">
      <c r="A28" s="54" t="n"/>
      <c r="B28" s="54" t="n"/>
      <c r="C28" s="54" t="n"/>
      <c r="D28" s="54" t="n"/>
      <c r="E28" s="54" t="n"/>
      <c r="F28" s="54" t="n"/>
      <c r="G28" s="54" t="n"/>
      <c r="H28" s="54" t="n"/>
      <c r="I28" s="54" t="n"/>
      <c r="J28" s="55">
        <f>IF(OR(G28="",H28=""),"",G28*H28/60)</f>
        <v/>
      </c>
      <c r="K28" s="56">
        <f>IF(J28="","",J28*Summary!$C$6)</f>
        <v/>
      </c>
      <c r="L28" s="54" t="n"/>
      <c r="M28" s="54" t="n"/>
      <c r="N28" s="54" t="n"/>
      <c r="O28" s="54" t="n"/>
      <c r="P28" s="54" t="n"/>
      <c r="Q28" s="54" t="n"/>
      <c r="R28" s="54" t="n"/>
      <c r="S28" s="54" t="n"/>
      <c r="T28" s="54" t="n"/>
    </row>
    <row r="29" ht="15" customHeight="1" s="41">
      <c r="A29" s="54" t="n"/>
      <c r="B29" s="54" t="n"/>
      <c r="C29" s="54" t="n"/>
      <c r="D29" s="54" t="n"/>
      <c r="E29" s="54" t="n"/>
      <c r="F29" s="54" t="n"/>
      <c r="G29" s="54" t="n"/>
      <c r="H29" s="54" t="n"/>
      <c r="I29" s="54" t="n"/>
      <c r="J29" s="55">
        <f>IF(OR(G29="",H29=""),"",G29*H29/60)</f>
        <v/>
      </c>
      <c r="K29" s="56">
        <f>IF(J29="","",J29*Summary!$C$6)</f>
        <v/>
      </c>
      <c r="L29" s="54" t="n"/>
      <c r="M29" s="54" t="n"/>
      <c r="N29" s="54" t="n"/>
      <c r="O29" s="54" t="n"/>
      <c r="P29" s="54" t="n"/>
      <c r="Q29" s="54" t="n"/>
      <c r="R29" s="54" t="n"/>
      <c r="S29" s="54" t="n"/>
      <c r="T29" s="54" t="n"/>
    </row>
    <row r="30" ht="15" customHeight="1" s="41">
      <c r="A30" s="54" t="n"/>
      <c r="B30" s="54" t="n"/>
      <c r="C30" s="54" t="n"/>
      <c r="D30" s="54" t="n"/>
      <c r="E30" s="54" t="n"/>
      <c r="F30" s="54" t="n"/>
      <c r="G30" s="54" t="n"/>
      <c r="H30" s="54" t="n"/>
      <c r="I30" s="54" t="n"/>
      <c r="J30" s="55">
        <f>IF(OR(G30="",H30=""),"",G30*H30/60)</f>
        <v/>
      </c>
      <c r="K30" s="56">
        <f>IF(J30="","",J30*Summary!$C$6)</f>
        <v/>
      </c>
      <c r="L30" s="54" t="n"/>
      <c r="M30" s="54" t="n"/>
      <c r="N30" s="54" t="n"/>
      <c r="O30" s="54" t="n"/>
      <c r="P30" s="54" t="n"/>
      <c r="Q30" s="54" t="n"/>
      <c r="R30" s="54" t="n"/>
      <c r="S30" s="54" t="n"/>
      <c r="T30" s="54" t="n"/>
    </row>
    <row r="31" ht="15" customHeight="1" s="41">
      <c r="A31" s="54" t="n"/>
      <c r="B31" s="54" t="n"/>
      <c r="C31" s="54" t="n"/>
      <c r="D31" s="54" t="n"/>
      <c r="E31" s="54" t="n"/>
      <c r="F31" s="54" t="n"/>
      <c r="G31" s="54" t="n"/>
      <c r="H31" s="54" t="n"/>
      <c r="I31" s="54" t="n"/>
      <c r="J31" s="55">
        <f>IF(OR(G31="",H31=""),"",G31*H31/60)</f>
        <v/>
      </c>
      <c r="K31" s="56">
        <f>IF(J31="","",J31*Summary!$C$6)</f>
        <v/>
      </c>
      <c r="L31" s="54" t="n"/>
      <c r="M31" s="54" t="n"/>
      <c r="N31" s="54" t="n"/>
      <c r="O31" s="54" t="n"/>
      <c r="P31" s="54" t="n"/>
      <c r="Q31" s="54" t="n"/>
      <c r="R31" s="54" t="n"/>
      <c r="S31" s="54" t="n"/>
      <c r="T31" s="54" t="n"/>
    </row>
    <row r="32" ht="15" customHeight="1" s="41">
      <c r="A32" s="54" t="n"/>
      <c r="B32" s="54" t="n"/>
      <c r="C32" s="54" t="n"/>
      <c r="D32" s="54" t="n"/>
      <c r="E32" s="54" t="n"/>
      <c r="F32" s="54" t="n"/>
      <c r="G32" s="54" t="n"/>
      <c r="H32" s="54" t="n"/>
      <c r="I32" s="54" t="n"/>
      <c r="J32" s="55">
        <f>IF(OR(G32="",H32=""),"",G32*H32/60)</f>
        <v/>
      </c>
      <c r="K32" s="56">
        <f>IF(J32="","",J32*Summary!$C$6)</f>
        <v/>
      </c>
      <c r="L32" s="54" t="n"/>
      <c r="M32" s="54" t="n"/>
      <c r="N32" s="54" t="n"/>
      <c r="O32" s="54" t="n"/>
      <c r="P32" s="54" t="n"/>
      <c r="Q32" s="54" t="n"/>
      <c r="R32" s="54" t="n"/>
      <c r="S32" s="54" t="n"/>
      <c r="T32" s="54" t="n"/>
    </row>
    <row r="33" ht="15" customHeight="1" s="41">
      <c r="A33" s="54" t="n"/>
      <c r="B33" s="54" t="n"/>
      <c r="C33" s="54" t="n"/>
      <c r="D33" s="54" t="n"/>
      <c r="E33" s="54" t="n"/>
      <c r="F33" s="54" t="n"/>
      <c r="G33" s="54" t="n"/>
      <c r="H33" s="54" t="n"/>
      <c r="I33" s="54" t="n"/>
      <c r="J33" s="55">
        <f>IF(OR(G33="",H33=""),"",G33*H33/60)</f>
        <v/>
      </c>
      <c r="K33" s="56">
        <f>IF(J33="","",J33*Summary!$C$6)</f>
        <v/>
      </c>
      <c r="L33" s="54" t="n"/>
      <c r="M33" s="54" t="n"/>
      <c r="N33" s="54" t="n"/>
      <c r="O33" s="54" t="n"/>
      <c r="P33" s="54" t="n"/>
      <c r="Q33" s="54" t="n"/>
      <c r="R33" s="54" t="n"/>
      <c r="S33" s="54" t="n"/>
      <c r="T33" s="54" t="n"/>
    </row>
    <row r="34" ht="15" customHeight="1" s="41">
      <c r="A34" s="54" t="n"/>
      <c r="B34" s="54" t="n"/>
      <c r="C34" s="54" t="n"/>
      <c r="D34" s="54" t="n"/>
      <c r="E34" s="54" t="n"/>
      <c r="F34" s="54" t="n"/>
      <c r="G34" s="54" t="n"/>
      <c r="H34" s="54" t="n"/>
      <c r="I34" s="54" t="n"/>
      <c r="J34" s="55">
        <f>IF(OR(G34="",H34=""),"",G34*H34/60)</f>
        <v/>
      </c>
      <c r="K34" s="56">
        <f>IF(J34="","",J34*Summary!$C$6)</f>
        <v/>
      </c>
      <c r="L34" s="54" t="n"/>
      <c r="M34" s="54" t="n"/>
      <c r="N34" s="54" t="n"/>
      <c r="O34" s="54" t="n"/>
      <c r="P34" s="54" t="n"/>
      <c r="Q34" s="54" t="n"/>
      <c r="R34" s="54" t="n"/>
      <c r="S34" s="54" t="n"/>
      <c r="T34" s="54" t="n"/>
    </row>
    <row r="35" ht="15" customHeight="1" s="41">
      <c r="A35" s="54" t="n"/>
      <c r="B35" s="54" t="n"/>
      <c r="C35" s="54" t="n"/>
      <c r="D35" s="54" t="n"/>
      <c r="E35" s="54" t="n"/>
      <c r="F35" s="54" t="n"/>
      <c r="G35" s="54" t="n"/>
      <c r="H35" s="54" t="n"/>
      <c r="I35" s="54" t="n"/>
      <c r="J35" s="55">
        <f>IF(OR(G35="",H35=""),"",G35*H35/60)</f>
        <v/>
      </c>
      <c r="K35" s="56">
        <f>IF(J35="","",J35*Summary!$C$6)</f>
        <v/>
      </c>
      <c r="L35" s="54" t="n"/>
      <c r="M35" s="54" t="n"/>
      <c r="N35" s="54" t="n"/>
      <c r="O35" s="54" t="n"/>
      <c r="P35" s="54" t="n"/>
      <c r="Q35" s="54" t="n"/>
      <c r="R35" s="54" t="n"/>
      <c r="S35" s="54" t="n"/>
      <c r="T35" s="54" t="n"/>
    </row>
    <row r="36" ht="15" customHeight="1" s="41">
      <c r="A36" s="54" t="n"/>
      <c r="B36" s="54" t="n"/>
      <c r="C36" s="54" t="n"/>
      <c r="D36" s="54" t="n"/>
      <c r="E36" s="54" t="n"/>
      <c r="F36" s="54" t="n"/>
      <c r="G36" s="54" t="n"/>
      <c r="H36" s="54" t="n"/>
      <c r="I36" s="54" t="n"/>
      <c r="J36" s="55">
        <f>IF(OR(G36="",H36=""),"",G36*H36/60)</f>
        <v/>
      </c>
      <c r="K36" s="56">
        <f>IF(J36="","",J36*Summary!$C$6)</f>
        <v/>
      </c>
      <c r="L36" s="54" t="n"/>
      <c r="M36" s="54" t="n"/>
      <c r="N36" s="54" t="n"/>
      <c r="O36" s="54" t="n"/>
      <c r="P36" s="54" t="n"/>
      <c r="Q36" s="54" t="n"/>
      <c r="R36" s="54" t="n"/>
      <c r="S36" s="54" t="n"/>
      <c r="T36" s="54" t="n"/>
    </row>
    <row r="37" ht="15" customHeight="1" s="41">
      <c r="A37" s="54" t="n"/>
      <c r="B37" s="54" t="n"/>
      <c r="C37" s="54" t="n"/>
      <c r="D37" s="54" t="n"/>
      <c r="E37" s="54" t="n"/>
      <c r="F37" s="54" t="n"/>
      <c r="G37" s="54" t="n"/>
      <c r="H37" s="54" t="n"/>
      <c r="I37" s="54" t="n"/>
      <c r="J37" s="55">
        <f>IF(OR(G37="",H37=""),"",G37*H37/60)</f>
        <v/>
      </c>
      <c r="K37" s="56">
        <f>IF(J37="","",J37*Summary!$C$6)</f>
        <v/>
      </c>
      <c r="L37" s="54" t="n"/>
      <c r="M37" s="54" t="n"/>
      <c r="N37" s="54" t="n"/>
      <c r="O37" s="54" t="n"/>
      <c r="P37" s="54" t="n"/>
      <c r="Q37" s="54" t="n"/>
      <c r="R37" s="54" t="n"/>
      <c r="S37" s="54" t="n"/>
      <c r="T37" s="54" t="n"/>
    </row>
    <row r="38" ht="15" customHeight="1" s="41">
      <c r="A38" s="54" t="n"/>
      <c r="B38" s="54" t="n"/>
      <c r="C38" s="54" t="n"/>
      <c r="D38" s="54" t="n"/>
      <c r="E38" s="54" t="n"/>
      <c r="F38" s="54" t="n"/>
      <c r="G38" s="54" t="n"/>
      <c r="H38" s="54" t="n"/>
      <c r="I38" s="54" t="n"/>
      <c r="J38" s="55">
        <f>IF(OR(G38="",H38=""),"",G38*H38/60)</f>
        <v/>
      </c>
      <c r="K38" s="56">
        <f>IF(J38="","",J38*Summary!$C$6)</f>
        <v/>
      </c>
      <c r="L38" s="54" t="n"/>
      <c r="M38" s="54" t="n"/>
      <c r="N38" s="54" t="n"/>
      <c r="O38" s="54" t="n"/>
      <c r="P38" s="54" t="n"/>
      <c r="Q38" s="54" t="n"/>
      <c r="R38" s="54" t="n"/>
      <c r="S38" s="54" t="n"/>
      <c r="T38" s="54" t="n"/>
    </row>
    <row r="39" ht="15" customHeight="1" s="41">
      <c r="A39" s="54" t="n"/>
      <c r="B39" s="54" t="n"/>
      <c r="C39" s="54" t="n"/>
      <c r="D39" s="54" t="n"/>
      <c r="E39" s="54" t="n"/>
      <c r="F39" s="54" t="n"/>
      <c r="G39" s="54" t="n"/>
      <c r="H39" s="54" t="n"/>
      <c r="I39" s="54" t="n"/>
      <c r="J39" s="55">
        <f>IF(OR(G39="",H39=""),"",G39*H39/60)</f>
        <v/>
      </c>
      <c r="K39" s="56">
        <f>IF(J39="","",J39*Summary!$C$6)</f>
        <v/>
      </c>
      <c r="L39" s="54" t="n"/>
      <c r="M39" s="54" t="n"/>
      <c r="N39" s="54" t="n"/>
      <c r="O39" s="54" t="n"/>
      <c r="P39" s="54" t="n"/>
      <c r="Q39" s="54" t="n"/>
      <c r="R39" s="54" t="n"/>
      <c r="S39" s="54" t="n"/>
      <c r="T39" s="54" t="n"/>
    </row>
    <row r="40" ht="15" customHeight="1" s="41">
      <c r="A40" s="54" t="n"/>
      <c r="B40" s="54" t="n"/>
      <c r="C40" s="54" t="n"/>
      <c r="D40" s="54" t="n"/>
      <c r="E40" s="54" t="n"/>
      <c r="F40" s="54" t="n"/>
      <c r="G40" s="54" t="n"/>
      <c r="H40" s="54" t="n"/>
      <c r="I40" s="54" t="n"/>
      <c r="J40" s="55">
        <f>IF(OR(G40="",H40=""),"",G40*H40/60)</f>
        <v/>
      </c>
      <c r="K40" s="56">
        <f>IF(J40="","",J40*Summary!$C$6)</f>
        <v/>
      </c>
      <c r="L40" s="54" t="n"/>
      <c r="M40" s="54" t="n"/>
      <c r="N40" s="54" t="n"/>
      <c r="O40" s="54" t="n"/>
      <c r="P40" s="54" t="n"/>
      <c r="Q40" s="54" t="n"/>
      <c r="R40" s="54" t="n"/>
      <c r="S40" s="54" t="n"/>
      <c r="T40" s="54" t="n"/>
    </row>
    <row r="41" ht="15" customHeight="1" s="41">
      <c r="A41" s="54" t="n"/>
      <c r="B41" s="54" t="n"/>
      <c r="C41" s="54" t="n"/>
      <c r="D41" s="54" t="n"/>
      <c r="E41" s="54" t="n"/>
      <c r="F41" s="54" t="n"/>
      <c r="G41" s="54" t="n"/>
      <c r="H41" s="54" t="n"/>
      <c r="I41" s="54" t="n"/>
      <c r="J41" s="55">
        <f>IF(OR(G41="",H41=""),"",G41*H41/60)</f>
        <v/>
      </c>
      <c r="K41" s="56">
        <f>IF(J41="","",J41*Summary!$C$6)</f>
        <v/>
      </c>
      <c r="L41" s="54" t="n"/>
      <c r="M41" s="54" t="n"/>
      <c r="N41" s="54" t="n"/>
      <c r="O41" s="54" t="n"/>
      <c r="P41" s="54" t="n"/>
      <c r="Q41" s="54" t="n"/>
      <c r="R41" s="54" t="n"/>
      <c r="S41" s="54" t="n"/>
      <c r="T41" s="54" t="n"/>
    </row>
    <row r="42" ht="15" customHeight="1" s="41">
      <c r="A42" s="54" t="n"/>
      <c r="B42" s="54" t="n"/>
      <c r="C42" s="54" t="n"/>
      <c r="D42" s="54" t="n"/>
      <c r="E42" s="54" t="n"/>
      <c r="F42" s="54" t="n"/>
      <c r="G42" s="54" t="n"/>
      <c r="H42" s="54" t="n"/>
      <c r="I42" s="54" t="n"/>
      <c r="J42" s="55">
        <f>IF(OR(G42="",H42=""),"",G42*H42/60)</f>
        <v/>
      </c>
      <c r="K42" s="56">
        <f>IF(J42="","",J42*Summary!$C$6)</f>
        <v/>
      </c>
      <c r="L42" s="54" t="n"/>
      <c r="M42" s="54" t="n"/>
      <c r="N42" s="54" t="n"/>
      <c r="O42" s="54" t="n"/>
      <c r="P42" s="54" t="n"/>
      <c r="Q42" s="54" t="n"/>
      <c r="R42" s="54" t="n"/>
      <c r="S42" s="54" t="n"/>
      <c r="T42" s="54" t="n"/>
    </row>
    <row r="43" ht="15" customHeight="1" s="41">
      <c r="A43" s="54" t="n"/>
      <c r="B43" s="54" t="n"/>
      <c r="C43" s="54" t="n"/>
      <c r="D43" s="54" t="n"/>
      <c r="E43" s="54" t="n"/>
      <c r="F43" s="54" t="n"/>
      <c r="G43" s="54" t="n"/>
      <c r="H43" s="54" t="n"/>
      <c r="I43" s="54" t="n"/>
      <c r="J43" s="55">
        <f>IF(OR(G43="",H43=""),"",G43*H43/60)</f>
        <v/>
      </c>
      <c r="K43" s="56">
        <f>IF(J43="","",J43*Summary!$C$6)</f>
        <v/>
      </c>
      <c r="L43" s="54" t="n"/>
      <c r="M43" s="54" t="n"/>
      <c r="N43" s="54" t="n"/>
      <c r="O43" s="54" t="n"/>
      <c r="P43" s="54" t="n"/>
      <c r="Q43" s="54" t="n"/>
      <c r="R43" s="54" t="n"/>
      <c r="S43" s="54" t="n"/>
      <c r="T43" s="54" t="n"/>
    </row>
    <row r="44" ht="15" customHeight="1" s="41">
      <c r="A44" s="54" t="n"/>
      <c r="B44" s="54" t="n"/>
      <c r="C44" s="54" t="n"/>
      <c r="D44" s="54" t="n"/>
      <c r="E44" s="54" t="n"/>
      <c r="F44" s="54" t="n"/>
      <c r="G44" s="54" t="n"/>
      <c r="H44" s="54" t="n"/>
      <c r="I44" s="54" t="n"/>
      <c r="J44" s="55">
        <f>IF(OR(G44="",H44=""),"",G44*H44/60)</f>
        <v/>
      </c>
      <c r="K44" s="56">
        <f>IF(J44="","",J44*Summary!$C$6)</f>
        <v/>
      </c>
      <c r="L44" s="54" t="n"/>
      <c r="M44" s="54" t="n"/>
      <c r="N44" s="54" t="n"/>
      <c r="O44" s="54" t="n"/>
      <c r="P44" s="54" t="n"/>
      <c r="Q44" s="54" t="n"/>
      <c r="R44" s="54" t="n"/>
      <c r="S44" s="54" t="n"/>
      <c r="T44" s="54" t="n"/>
    </row>
    <row r="45" ht="15" customHeight="1" s="41">
      <c r="A45" s="54" t="n"/>
      <c r="B45" s="54" t="n"/>
      <c r="C45" s="54" t="n"/>
      <c r="D45" s="54" t="n"/>
      <c r="E45" s="54" t="n"/>
      <c r="F45" s="54" t="n"/>
      <c r="G45" s="54" t="n"/>
      <c r="H45" s="54" t="n"/>
      <c r="I45" s="54" t="n"/>
      <c r="J45" s="55">
        <f>IF(OR(G45="",H45=""),"",G45*H45/60)</f>
        <v/>
      </c>
      <c r="K45" s="56">
        <f>IF(J45="","",J45*Summary!$C$6)</f>
        <v/>
      </c>
      <c r="L45" s="54" t="n"/>
      <c r="M45" s="54" t="n"/>
      <c r="N45" s="54" t="n"/>
      <c r="O45" s="54" t="n"/>
      <c r="P45" s="54" t="n"/>
      <c r="Q45" s="54" t="n"/>
      <c r="R45" s="54" t="n"/>
      <c r="S45" s="54" t="n"/>
      <c r="T45" s="54" t="n"/>
    </row>
    <row r="46" ht="15" customHeight="1" s="41">
      <c r="A46" s="54" t="n"/>
      <c r="B46" s="54" t="n"/>
      <c r="C46" s="54" t="n"/>
      <c r="D46" s="54" t="n"/>
      <c r="E46" s="54" t="n"/>
      <c r="F46" s="54" t="n"/>
      <c r="G46" s="54" t="n"/>
      <c r="H46" s="54" t="n"/>
      <c r="I46" s="54" t="n"/>
      <c r="J46" s="55">
        <f>IF(OR(G46="",H46=""),"",G46*H46/60)</f>
        <v/>
      </c>
      <c r="K46" s="56">
        <f>IF(J46="","",J46*Summary!$C$6)</f>
        <v/>
      </c>
      <c r="L46" s="54" t="n"/>
      <c r="M46" s="54" t="n"/>
      <c r="N46" s="54" t="n"/>
      <c r="O46" s="54" t="n"/>
      <c r="P46" s="54" t="n"/>
      <c r="Q46" s="54" t="n"/>
      <c r="R46" s="54" t="n"/>
      <c r="S46" s="54" t="n"/>
      <c r="T46" s="54" t="n"/>
    </row>
    <row r="47" ht="15" customHeight="1" s="41">
      <c r="A47" s="54" t="n"/>
      <c r="B47" s="54" t="n"/>
      <c r="C47" s="54" t="n"/>
      <c r="D47" s="54" t="n"/>
      <c r="E47" s="54" t="n"/>
      <c r="F47" s="54" t="n"/>
      <c r="G47" s="54" t="n"/>
      <c r="H47" s="54" t="n"/>
      <c r="I47" s="54" t="n"/>
      <c r="J47" s="55">
        <f>IF(OR(G47="",H47=""),"",G47*H47/60)</f>
        <v/>
      </c>
      <c r="K47" s="56">
        <f>IF(J47="","",J47*Summary!$C$6)</f>
        <v/>
      </c>
      <c r="L47" s="54" t="n"/>
      <c r="M47" s="54" t="n"/>
      <c r="N47" s="54" t="n"/>
      <c r="O47" s="54" t="n"/>
      <c r="P47" s="54" t="n"/>
      <c r="Q47" s="54" t="n"/>
      <c r="R47" s="54" t="n"/>
      <c r="S47" s="54" t="n"/>
      <c r="T47" s="54" t="n"/>
    </row>
    <row r="48" ht="15" customHeight="1" s="41">
      <c r="A48" s="54" t="n"/>
      <c r="B48" s="54" t="n"/>
      <c r="C48" s="54" t="n"/>
      <c r="D48" s="54" t="n"/>
      <c r="E48" s="54" t="n"/>
      <c r="F48" s="54" t="n"/>
      <c r="G48" s="54" t="n"/>
      <c r="H48" s="54" t="n"/>
      <c r="I48" s="54" t="n"/>
      <c r="J48" s="55">
        <f>IF(OR(G48="",H48=""),"",G48*H48/60)</f>
        <v/>
      </c>
      <c r="K48" s="56">
        <f>IF(J48="","",J48*Summary!$C$6)</f>
        <v/>
      </c>
      <c r="L48" s="54" t="n"/>
      <c r="M48" s="54" t="n"/>
      <c r="N48" s="54" t="n"/>
      <c r="O48" s="54" t="n"/>
      <c r="P48" s="54" t="n"/>
      <c r="Q48" s="54" t="n"/>
      <c r="R48" s="54" t="n"/>
      <c r="S48" s="54" t="n"/>
      <c r="T48" s="54" t="n"/>
    </row>
    <row r="49" ht="15" customHeight="1" s="41">
      <c r="A49" s="54" t="n"/>
      <c r="B49" s="54" t="n"/>
      <c r="C49" s="54" t="n"/>
      <c r="D49" s="54" t="n"/>
      <c r="E49" s="54" t="n"/>
      <c r="F49" s="54" t="n"/>
      <c r="G49" s="54" t="n"/>
      <c r="H49" s="54" t="n"/>
      <c r="I49" s="54" t="n"/>
      <c r="J49" s="55">
        <f>IF(OR(G49="",H49=""),"",G49*H49/60)</f>
        <v/>
      </c>
      <c r="K49" s="56">
        <f>IF(J49="","",J49*Summary!$C$6)</f>
        <v/>
      </c>
      <c r="L49" s="54" t="n"/>
      <c r="M49" s="54" t="n"/>
      <c r="N49" s="54" t="n"/>
      <c r="O49" s="54" t="n"/>
      <c r="P49" s="54" t="n"/>
      <c r="Q49" s="54" t="n"/>
      <c r="R49" s="54" t="n"/>
      <c r="S49" s="54" t="n"/>
      <c r="T49" s="54" t="n"/>
    </row>
    <row r="50" ht="15" customHeight="1" s="41">
      <c r="A50" s="54" t="n"/>
      <c r="B50" s="54" t="n"/>
      <c r="C50" s="54" t="n"/>
      <c r="D50" s="54" t="n"/>
      <c r="E50" s="54" t="n"/>
      <c r="F50" s="54" t="n"/>
      <c r="G50" s="54" t="n"/>
      <c r="H50" s="54" t="n"/>
      <c r="I50" s="54" t="n"/>
      <c r="J50" s="55">
        <f>IF(OR(G50="",H50=""),"",G50*H50/60)</f>
        <v/>
      </c>
      <c r="K50" s="56">
        <f>IF(J50="","",J50*Summary!$C$6)</f>
        <v/>
      </c>
      <c r="L50" s="54" t="n"/>
      <c r="M50" s="54" t="n"/>
      <c r="N50" s="54" t="n"/>
      <c r="O50" s="54" t="n"/>
      <c r="P50" s="54" t="n"/>
      <c r="Q50" s="54" t="n"/>
      <c r="R50" s="54" t="n"/>
      <c r="S50" s="54" t="n"/>
      <c r="T50" s="54" t="n"/>
    </row>
    <row r="51" ht="15" customHeight="1" s="41">
      <c r="A51" s="54" t="n"/>
      <c r="B51" s="54" t="n"/>
      <c r="C51" s="54" t="n"/>
      <c r="D51" s="54" t="n"/>
      <c r="E51" s="54" t="n"/>
      <c r="F51" s="54" t="n"/>
      <c r="G51" s="54" t="n"/>
      <c r="H51" s="54" t="n"/>
      <c r="I51" s="54" t="n"/>
      <c r="J51" s="55">
        <f>IF(OR(G51="",H51=""),"",G51*H51/60)</f>
        <v/>
      </c>
      <c r="K51" s="56">
        <f>IF(J51="","",J51*Summary!$C$6)</f>
        <v/>
      </c>
      <c r="L51" s="54" t="n"/>
      <c r="M51" s="54" t="n"/>
      <c r="N51" s="54" t="n"/>
      <c r="O51" s="54" t="n"/>
      <c r="P51" s="54" t="n"/>
      <c r="Q51" s="54" t="n"/>
      <c r="R51" s="54" t="n"/>
      <c r="S51" s="54" t="n"/>
      <c r="T51" s="54" t="n"/>
    </row>
    <row r="52" ht="15" customHeight="1" s="41">
      <c r="A52" s="54" t="n"/>
      <c r="B52" s="54" t="n"/>
      <c r="C52" s="54" t="n"/>
      <c r="D52" s="54" t="n"/>
      <c r="E52" s="54" t="n"/>
      <c r="F52" s="54" t="n"/>
      <c r="G52" s="54" t="n"/>
      <c r="H52" s="54" t="n"/>
      <c r="I52" s="54" t="n"/>
      <c r="J52" s="55">
        <f>IF(OR(G52="",H52=""),"",G52*H52/60)</f>
        <v/>
      </c>
      <c r="K52" s="56">
        <f>IF(J52="","",J52*Summary!$C$6)</f>
        <v/>
      </c>
      <c r="L52" s="54" t="n"/>
      <c r="M52" s="54" t="n"/>
      <c r="N52" s="54" t="n"/>
      <c r="O52" s="54" t="n"/>
      <c r="P52" s="54" t="n"/>
      <c r="Q52" s="54" t="n"/>
      <c r="R52" s="54" t="n"/>
      <c r="S52" s="54" t="n"/>
      <c r="T52" s="54" t="n"/>
    </row>
    <row r="53" ht="15" customHeight="1" s="41">
      <c r="A53" s="54" t="n"/>
      <c r="B53" s="54" t="n"/>
      <c r="C53" s="54" t="n"/>
      <c r="D53" s="54" t="n"/>
      <c r="E53" s="54" t="n"/>
      <c r="F53" s="54" t="n"/>
      <c r="G53" s="54" t="n"/>
      <c r="H53" s="54" t="n"/>
      <c r="I53" s="54" t="n"/>
      <c r="J53" s="55">
        <f>IF(OR(G53="",H53=""),"",G53*H53/60)</f>
        <v/>
      </c>
      <c r="K53" s="56">
        <f>IF(J53="","",J53*Summary!$C$6)</f>
        <v/>
      </c>
      <c r="L53" s="54" t="n"/>
      <c r="M53" s="54" t="n"/>
      <c r="N53" s="54" t="n"/>
      <c r="O53" s="54" t="n"/>
      <c r="P53" s="54" t="n"/>
      <c r="Q53" s="54" t="n"/>
      <c r="R53" s="54" t="n"/>
      <c r="S53" s="54" t="n"/>
      <c r="T53" s="54" t="n"/>
    </row>
    <row r="54" ht="15" customHeight="1" s="41">
      <c r="A54" s="54" t="n"/>
      <c r="B54" s="54" t="n"/>
      <c r="C54" s="54" t="n"/>
      <c r="D54" s="54" t="n"/>
      <c r="E54" s="54" t="n"/>
      <c r="F54" s="54" t="n"/>
      <c r="G54" s="54" t="n"/>
      <c r="H54" s="54" t="n"/>
      <c r="I54" s="54" t="n"/>
      <c r="J54" s="55">
        <f>IF(OR(G54="",H54=""),"",G54*H54/60)</f>
        <v/>
      </c>
      <c r="K54" s="56">
        <f>IF(J54="","",J54*Summary!$C$6)</f>
        <v/>
      </c>
      <c r="L54" s="54" t="n"/>
      <c r="M54" s="54" t="n"/>
      <c r="N54" s="54" t="n"/>
      <c r="O54" s="54" t="n"/>
      <c r="P54" s="54" t="n"/>
      <c r="Q54" s="54" t="n"/>
      <c r="R54" s="54" t="n"/>
      <c r="S54" s="54" t="n"/>
      <c r="T54" s="54" t="n"/>
    </row>
    <row r="55" ht="15" customHeight="1" s="41">
      <c r="A55" s="54" t="n"/>
      <c r="B55" s="54" t="n"/>
      <c r="C55" s="54" t="n"/>
      <c r="D55" s="54" t="n"/>
      <c r="E55" s="54" t="n"/>
      <c r="F55" s="54" t="n"/>
      <c r="G55" s="54" t="n"/>
      <c r="H55" s="54" t="n"/>
      <c r="I55" s="54" t="n"/>
      <c r="J55" s="55">
        <f>IF(OR(G55="",H55=""),"",G55*H55/60)</f>
        <v/>
      </c>
      <c r="K55" s="56">
        <f>IF(J55="","",J55*Summary!$C$6)</f>
        <v/>
      </c>
      <c r="L55" s="54" t="n"/>
      <c r="M55" s="54" t="n"/>
      <c r="N55" s="54" t="n"/>
      <c r="O55" s="54" t="n"/>
      <c r="P55" s="54" t="n"/>
      <c r="Q55" s="54" t="n"/>
      <c r="R55" s="54" t="n"/>
      <c r="S55" s="54" t="n"/>
      <c r="T55" s="54" t="n"/>
    </row>
    <row r="56" ht="15" customHeight="1" s="41">
      <c r="A56" s="54" t="n"/>
      <c r="B56" s="54" t="n"/>
      <c r="C56" s="54" t="n"/>
      <c r="D56" s="54" t="n"/>
      <c r="E56" s="54" t="n"/>
      <c r="F56" s="54" t="n"/>
      <c r="G56" s="54" t="n"/>
      <c r="H56" s="54" t="n"/>
      <c r="I56" s="54" t="n"/>
      <c r="J56" s="55">
        <f>IF(OR(G56="",H56=""),"",G56*H56/60)</f>
        <v/>
      </c>
      <c r="K56" s="56">
        <f>IF(J56="","",J56*Summary!$C$6)</f>
        <v/>
      </c>
      <c r="L56" s="54" t="n"/>
      <c r="M56" s="54" t="n"/>
      <c r="N56" s="54" t="n"/>
      <c r="O56" s="54" t="n"/>
      <c r="P56" s="54" t="n"/>
      <c r="Q56" s="54" t="n"/>
      <c r="R56" s="54" t="n"/>
      <c r="S56" s="54" t="n"/>
      <c r="T56" s="54" t="n"/>
    </row>
    <row r="57" ht="15" customHeight="1" s="41">
      <c r="A57" s="54" t="n"/>
      <c r="B57" s="54" t="n"/>
      <c r="C57" s="54" t="n"/>
      <c r="D57" s="54" t="n"/>
      <c r="E57" s="54" t="n"/>
      <c r="F57" s="54" t="n"/>
      <c r="G57" s="54" t="n"/>
      <c r="H57" s="54" t="n"/>
      <c r="I57" s="54" t="n"/>
      <c r="J57" s="55">
        <f>IF(OR(G57="",H57=""),"",G57*H57/60)</f>
        <v/>
      </c>
      <c r="K57" s="56">
        <f>IF(J57="","",J57*Summary!$C$6)</f>
        <v/>
      </c>
      <c r="L57" s="54" t="n"/>
      <c r="M57" s="54" t="n"/>
      <c r="N57" s="54" t="n"/>
      <c r="O57" s="54" t="n"/>
      <c r="P57" s="54" t="n"/>
      <c r="Q57" s="54" t="n"/>
      <c r="R57" s="54" t="n"/>
      <c r="S57" s="54" t="n"/>
      <c r="T57" s="54" t="n"/>
    </row>
    <row r="58" ht="15" customHeight="1" s="41">
      <c r="A58" s="54" t="n"/>
      <c r="B58" s="54" t="n"/>
      <c r="C58" s="54" t="n"/>
      <c r="D58" s="54" t="n"/>
      <c r="E58" s="54" t="n"/>
      <c r="F58" s="54" t="n"/>
      <c r="G58" s="54" t="n"/>
      <c r="H58" s="54" t="n"/>
      <c r="I58" s="54" t="n"/>
      <c r="J58" s="55">
        <f>IF(OR(G58="",H58=""),"",G58*H58/60)</f>
        <v/>
      </c>
      <c r="K58" s="56">
        <f>IF(J58="","",J58*Summary!$C$6)</f>
        <v/>
      </c>
      <c r="L58" s="54" t="n"/>
      <c r="M58" s="54" t="n"/>
      <c r="N58" s="54" t="n"/>
      <c r="O58" s="54" t="n"/>
      <c r="P58" s="54" t="n"/>
      <c r="Q58" s="54" t="n"/>
      <c r="R58" s="54" t="n"/>
      <c r="S58" s="54" t="n"/>
      <c r="T58" s="54" t="n"/>
    </row>
    <row r="59" ht="15" customHeight="1" s="41">
      <c r="A59" s="54" t="n"/>
      <c r="B59" s="54" t="n"/>
      <c r="C59" s="54" t="n"/>
      <c r="D59" s="54" t="n"/>
      <c r="E59" s="54" t="n"/>
      <c r="F59" s="54" t="n"/>
      <c r="G59" s="54" t="n"/>
      <c r="H59" s="54" t="n"/>
      <c r="I59" s="54" t="n"/>
      <c r="J59" s="55">
        <f>IF(OR(G59="",H59=""),"",G59*H59/60)</f>
        <v/>
      </c>
      <c r="K59" s="56">
        <f>IF(J59="","",J59*Summary!$C$6)</f>
        <v/>
      </c>
      <c r="L59" s="54" t="n"/>
      <c r="M59" s="54" t="n"/>
      <c r="N59" s="54" t="n"/>
      <c r="O59" s="54" t="n"/>
      <c r="P59" s="54" t="n"/>
      <c r="Q59" s="54" t="n"/>
      <c r="R59" s="54" t="n"/>
      <c r="S59" s="54" t="n"/>
      <c r="T59" s="54" t="n"/>
    </row>
    <row r="60" ht="15" customHeight="1" s="41">
      <c r="A60" s="54" t="n"/>
      <c r="B60" s="54" t="n"/>
      <c r="C60" s="54" t="n"/>
      <c r="D60" s="54" t="n"/>
      <c r="E60" s="54" t="n"/>
      <c r="F60" s="54" t="n"/>
      <c r="G60" s="54" t="n"/>
      <c r="H60" s="54" t="n"/>
      <c r="I60" s="54" t="n"/>
      <c r="J60" s="55">
        <f>IF(OR(G60="",H60=""),"",G60*H60/60)</f>
        <v/>
      </c>
      <c r="K60" s="56">
        <f>IF(J60="","",J60*Summary!$C$6)</f>
        <v/>
      </c>
      <c r="L60" s="54" t="n"/>
      <c r="M60" s="54" t="n"/>
      <c r="N60" s="54" t="n"/>
      <c r="O60" s="54" t="n"/>
      <c r="P60" s="54" t="n"/>
      <c r="Q60" s="54" t="n"/>
      <c r="R60" s="54" t="n"/>
      <c r="S60" s="54" t="n"/>
      <c r="T60" s="54" t="n"/>
    </row>
    <row r="61" ht="15" customHeight="1" s="41">
      <c r="A61" s="54" t="n"/>
      <c r="B61" s="54" t="n"/>
      <c r="C61" s="54" t="n"/>
      <c r="D61" s="54" t="n"/>
      <c r="E61" s="54" t="n"/>
      <c r="F61" s="54" t="n"/>
      <c r="G61" s="54" t="n"/>
      <c r="H61" s="54" t="n"/>
      <c r="I61" s="54" t="n"/>
      <c r="J61" s="55">
        <f>IF(OR(G61="",H61=""),"",G61*H61/60)</f>
        <v/>
      </c>
      <c r="K61" s="56">
        <f>IF(J61="","",J61*Summary!$C$6)</f>
        <v/>
      </c>
      <c r="L61" s="54" t="n"/>
      <c r="M61" s="54" t="n"/>
      <c r="N61" s="54" t="n"/>
      <c r="O61" s="54" t="n"/>
      <c r="P61" s="54" t="n"/>
      <c r="Q61" s="54" t="n"/>
      <c r="R61" s="54" t="n"/>
      <c r="S61" s="54" t="n"/>
      <c r="T61" s="54" t="n"/>
    </row>
    <row r="62" ht="15" customHeight="1" s="41">
      <c r="A62" s="54" t="n"/>
      <c r="B62" s="54" t="n"/>
      <c r="C62" s="54" t="n"/>
      <c r="D62" s="54" t="n"/>
      <c r="E62" s="54" t="n"/>
      <c r="F62" s="54" t="n"/>
      <c r="G62" s="54" t="n"/>
      <c r="H62" s="54" t="n"/>
      <c r="I62" s="54" t="n"/>
      <c r="J62" s="55">
        <f>IF(OR(G62="",H62=""),"",G62*H62/60)</f>
        <v/>
      </c>
      <c r="K62" s="56">
        <f>IF(J62="","",J62*Summary!$C$6)</f>
        <v/>
      </c>
      <c r="L62" s="54" t="n"/>
      <c r="M62" s="54" t="n"/>
      <c r="N62" s="54" t="n"/>
      <c r="O62" s="54" t="n"/>
      <c r="P62" s="54" t="n"/>
      <c r="Q62" s="54" t="n"/>
      <c r="R62" s="54" t="n"/>
      <c r="S62" s="54" t="n"/>
      <c r="T62" s="54" t="n"/>
    </row>
    <row r="63" ht="15" customHeight="1" s="41">
      <c r="A63" s="54" t="n"/>
      <c r="B63" s="54" t="n"/>
      <c r="C63" s="54" t="n"/>
      <c r="D63" s="54" t="n"/>
      <c r="E63" s="54" t="n"/>
      <c r="F63" s="54" t="n"/>
      <c r="G63" s="54" t="n"/>
      <c r="H63" s="54" t="n"/>
      <c r="I63" s="54" t="n"/>
      <c r="J63" s="55">
        <f>IF(OR(G63="",H63=""),"",G63*H63/60)</f>
        <v/>
      </c>
      <c r="K63" s="56">
        <f>IF(J63="","",J63*Summary!$C$6)</f>
        <v/>
      </c>
      <c r="L63" s="54" t="n"/>
      <c r="M63" s="54" t="n"/>
      <c r="N63" s="54" t="n"/>
      <c r="O63" s="54" t="n"/>
      <c r="P63" s="54" t="n"/>
      <c r="Q63" s="54" t="n"/>
      <c r="R63" s="54" t="n"/>
      <c r="S63" s="54" t="n"/>
      <c r="T63" s="54" t="n"/>
    </row>
    <row r="64" ht="15" customHeight="1" s="41">
      <c r="A64" s="54" t="n"/>
      <c r="B64" s="54" t="n"/>
      <c r="C64" s="54" t="n"/>
      <c r="D64" s="54" t="n"/>
      <c r="E64" s="54" t="n"/>
      <c r="F64" s="54" t="n"/>
      <c r="G64" s="54" t="n"/>
      <c r="H64" s="54" t="n"/>
      <c r="I64" s="54" t="n"/>
      <c r="J64" s="55">
        <f>IF(OR(G64="",H64=""),"",G64*H64/60)</f>
        <v/>
      </c>
      <c r="K64" s="56">
        <f>IF(J64="","",J64*Summary!$C$6)</f>
        <v/>
      </c>
      <c r="L64" s="54" t="n"/>
      <c r="M64" s="54" t="n"/>
      <c r="N64" s="54" t="n"/>
      <c r="O64" s="54" t="n"/>
      <c r="P64" s="54" t="n"/>
      <c r="Q64" s="54" t="n"/>
      <c r="R64" s="54" t="n"/>
      <c r="S64" s="54" t="n"/>
      <c r="T64" s="54" t="n"/>
    </row>
    <row r="65" ht="15" customHeight="1" s="41">
      <c r="A65" s="54" t="n"/>
      <c r="B65" s="54" t="n"/>
      <c r="C65" s="54" t="n"/>
      <c r="D65" s="54" t="n"/>
      <c r="E65" s="54" t="n"/>
      <c r="F65" s="54" t="n"/>
      <c r="G65" s="54" t="n"/>
      <c r="H65" s="54" t="n"/>
      <c r="I65" s="54" t="n"/>
      <c r="J65" s="55">
        <f>IF(OR(G65="",H65=""),"",G65*H65/60)</f>
        <v/>
      </c>
      <c r="K65" s="56">
        <f>IF(J65="","",J65*Summary!$C$6)</f>
        <v/>
      </c>
      <c r="L65" s="54" t="n"/>
      <c r="M65" s="54" t="n"/>
      <c r="N65" s="54" t="n"/>
      <c r="O65" s="54" t="n"/>
      <c r="P65" s="54" t="n"/>
      <c r="Q65" s="54" t="n"/>
      <c r="R65" s="54" t="n"/>
      <c r="S65" s="54" t="n"/>
      <c r="T65" s="54" t="n"/>
    </row>
    <row r="66" ht="15" customHeight="1" s="41">
      <c r="A66" s="54" t="n"/>
      <c r="B66" s="54" t="n"/>
      <c r="C66" s="54" t="n"/>
      <c r="D66" s="54" t="n"/>
      <c r="E66" s="54" t="n"/>
      <c r="F66" s="54" t="n"/>
      <c r="G66" s="54" t="n"/>
      <c r="H66" s="54" t="n"/>
      <c r="I66" s="54" t="n"/>
      <c r="J66" s="55">
        <f>IF(OR(G66="",H66=""),"",G66*H66/60)</f>
        <v/>
      </c>
      <c r="K66" s="56">
        <f>IF(J66="","",J66*Summary!$C$6)</f>
        <v/>
      </c>
      <c r="L66" s="54" t="n"/>
      <c r="M66" s="54" t="n"/>
      <c r="N66" s="54" t="n"/>
      <c r="O66" s="54" t="n"/>
      <c r="P66" s="54" t="n"/>
      <c r="Q66" s="54" t="n"/>
      <c r="R66" s="54" t="n"/>
      <c r="S66" s="54" t="n"/>
      <c r="T66" s="54" t="n"/>
    </row>
    <row r="67" ht="15" customHeight="1" s="41">
      <c r="A67" s="54" t="n"/>
      <c r="B67" s="54" t="n"/>
      <c r="C67" s="54" t="n"/>
      <c r="D67" s="54" t="n"/>
      <c r="E67" s="54" t="n"/>
      <c r="F67" s="54" t="n"/>
      <c r="G67" s="54" t="n"/>
      <c r="H67" s="54" t="n"/>
      <c r="I67" s="54" t="n"/>
      <c r="J67" s="55">
        <f>IF(OR(G67="",H67=""),"",G67*H67/60)</f>
        <v/>
      </c>
      <c r="K67" s="56">
        <f>IF(J67="","",J67*Summary!$C$6)</f>
        <v/>
      </c>
      <c r="L67" s="54" t="n"/>
      <c r="M67" s="54" t="n"/>
      <c r="N67" s="54" t="n"/>
      <c r="O67" s="54" t="n"/>
      <c r="P67" s="54" t="n"/>
      <c r="Q67" s="54" t="n"/>
      <c r="R67" s="54" t="n"/>
      <c r="S67" s="54" t="n"/>
      <c r="T67" s="54" t="n"/>
    </row>
    <row r="68" ht="15" customHeight="1" s="41">
      <c r="A68" s="54" t="n"/>
      <c r="B68" s="54" t="n"/>
      <c r="C68" s="54" t="n"/>
      <c r="D68" s="54" t="n"/>
      <c r="E68" s="54" t="n"/>
      <c r="F68" s="54" t="n"/>
      <c r="G68" s="54" t="n"/>
      <c r="H68" s="54" t="n"/>
      <c r="I68" s="54" t="n"/>
      <c r="J68" s="55">
        <f>IF(OR(G68="",H68=""),"",G68*H68/60)</f>
        <v/>
      </c>
      <c r="K68" s="56">
        <f>IF(J68="","",J68*Summary!$C$6)</f>
        <v/>
      </c>
      <c r="L68" s="54" t="n"/>
      <c r="M68" s="54" t="n"/>
      <c r="N68" s="54" t="n"/>
      <c r="O68" s="54" t="n"/>
      <c r="P68" s="54" t="n"/>
      <c r="Q68" s="54" t="n"/>
      <c r="R68" s="54" t="n"/>
      <c r="S68" s="54" t="n"/>
      <c r="T68" s="54" t="n"/>
    </row>
    <row r="69" ht="15" customHeight="1" s="41">
      <c r="A69" s="54" t="n"/>
      <c r="B69" s="54" t="n"/>
      <c r="C69" s="54" t="n"/>
      <c r="D69" s="54" t="n"/>
      <c r="E69" s="54" t="n"/>
      <c r="F69" s="54" t="n"/>
      <c r="G69" s="54" t="n"/>
      <c r="H69" s="54" t="n"/>
      <c r="I69" s="54" t="n"/>
      <c r="J69" s="55">
        <f>IF(OR(G69="",H69=""),"",G69*H69/60)</f>
        <v/>
      </c>
      <c r="K69" s="56">
        <f>IF(J69="","",J69*Summary!$C$6)</f>
        <v/>
      </c>
      <c r="L69" s="54" t="n"/>
      <c r="M69" s="54" t="n"/>
      <c r="N69" s="54" t="n"/>
      <c r="O69" s="54" t="n"/>
      <c r="P69" s="54" t="n"/>
      <c r="Q69" s="54" t="n"/>
      <c r="R69" s="54" t="n"/>
      <c r="S69" s="54" t="n"/>
      <c r="T69" s="54" t="n"/>
    </row>
    <row r="70" ht="15" customHeight="1" s="41">
      <c r="A70" s="54" t="n"/>
      <c r="B70" s="54" t="n"/>
      <c r="C70" s="54" t="n"/>
      <c r="D70" s="54" t="n"/>
      <c r="E70" s="54" t="n"/>
      <c r="F70" s="54" t="n"/>
      <c r="G70" s="54" t="n"/>
      <c r="H70" s="54" t="n"/>
      <c r="I70" s="54" t="n"/>
      <c r="J70" s="55">
        <f>IF(OR(G70="",H70=""),"",G70*H70/60)</f>
        <v/>
      </c>
      <c r="K70" s="56">
        <f>IF(J70="","",J70*Summary!$C$6)</f>
        <v/>
      </c>
      <c r="L70" s="54" t="n"/>
      <c r="M70" s="54" t="n"/>
      <c r="N70" s="54" t="n"/>
      <c r="O70" s="54" t="n"/>
      <c r="P70" s="54" t="n"/>
      <c r="Q70" s="54" t="n"/>
      <c r="R70" s="54" t="n"/>
      <c r="S70" s="54" t="n"/>
      <c r="T70" s="54" t="n"/>
    </row>
    <row r="71" ht="15" customHeight="1" s="41">
      <c r="A71" s="54" t="n"/>
      <c r="B71" s="54" t="n"/>
      <c r="C71" s="54" t="n"/>
      <c r="D71" s="54" t="n"/>
      <c r="E71" s="54" t="n"/>
      <c r="F71" s="54" t="n"/>
      <c r="G71" s="54" t="n"/>
      <c r="H71" s="54" t="n"/>
      <c r="I71" s="54" t="n"/>
      <c r="J71" s="55">
        <f>IF(OR(G71="",H71=""),"",G71*H71/60)</f>
        <v/>
      </c>
      <c r="K71" s="56">
        <f>IF(J71="","",J71*Summary!$C$6)</f>
        <v/>
      </c>
      <c r="L71" s="54" t="n"/>
      <c r="M71" s="54" t="n"/>
      <c r="N71" s="54" t="n"/>
      <c r="O71" s="54" t="n"/>
      <c r="P71" s="54" t="n"/>
      <c r="Q71" s="54" t="n"/>
      <c r="R71" s="54" t="n"/>
      <c r="S71" s="54" t="n"/>
      <c r="T71" s="54" t="n"/>
    </row>
    <row r="72" ht="15" customHeight="1" s="41">
      <c r="A72" s="54" t="n"/>
      <c r="B72" s="54" t="n"/>
      <c r="C72" s="54" t="n"/>
      <c r="D72" s="54" t="n"/>
      <c r="E72" s="54" t="n"/>
      <c r="F72" s="54" t="n"/>
      <c r="G72" s="54" t="n"/>
      <c r="H72" s="54" t="n"/>
      <c r="I72" s="54" t="n"/>
      <c r="J72" s="55">
        <f>IF(OR(G72="",H72=""),"",G72*H72/60)</f>
        <v/>
      </c>
      <c r="K72" s="56">
        <f>IF(J72="","",J72*Summary!$C$6)</f>
        <v/>
      </c>
      <c r="L72" s="54" t="n"/>
      <c r="M72" s="54" t="n"/>
      <c r="N72" s="54" t="n"/>
      <c r="O72" s="54" t="n"/>
      <c r="P72" s="54" t="n"/>
      <c r="Q72" s="54" t="n"/>
      <c r="R72" s="54" t="n"/>
      <c r="S72" s="54" t="n"/>
      <c r="T72" s="54" t="n"/>
    </row>
    <row r="73" ht="15" customHeight="1" s="41">
      <c r="A73" s="54" t="n"/>
      <c r="B73" s="54" t="n"/>
      <c r="C73" s="54" t="n"/>
      <c r="D73" s="54" t="n"/>
      <c r="E73" s="54" t="n"/>
      <c r="F73" s="54" t="n"/>
      <c r="G73" s="54" t="n"/>
      <c r="H73" s="54" t="n"/>
      <c r="I73" s="54" t="n"/>
      <c r="J73" s="55">
        <f>IF(OR(G73="",H73=""),"",G73*H73/60)</f>
        <v/>
      </c>
      <c r="K73" s="56">
        <f>IF(J73="","",J73*Summary!$C$6)</f>
        <v/>
      </c>
      <c r="L73" s="54" t="n"/>
      <c r="M73" s="54" t="n"/>
      <c r="N73" s="54" t="n"/>
      <c r="O73" s="54" t="n"/>
      <c r="P73" s="54" t="n"/>
      <c r="Q73" s="54" t="n"/>
      <c r="R73" s="54" t="n"/>
      <c r="S73" s="54" t="n"/>
      <c r="T73" s="54" t="n"/>
    </row>
    <row r="74" ht="15" customHeight="1" s="41">
      <c r="A74" s="54" t="n"/>
      <c r="B74" s="54" t="n"/>
      <c r="C74" s="54" t="n"/>
      <c r="D74" s="54" t="n"/>
      <c r="E74" s="54" t="n"/>
      <c r="F74" s="54" t="n"/>
      <c r="G74" s="54" t="n"/>
      <c r="H74" s="54" t="n"/>
      <c r="I74" s="54" t="n"/>
      <c r="J74" s="55">
        <f>IF(OR(G74="",H74=""),"",G74*H74/60)</f>
        <v/>
      </c>
      <c r="K74" s="56">
        <f>IF(J74="","",J74*Summary!$C$6)</f>
        <v/>
      </c>
      <c r="L74" s="54" t="n"/>
      <c r="M74" s="54" t="n"/>
      <c r="N74" s="54" t="n"/>
      <c r="O74" s="54" t="n"/>
      <c r="P74" s="54" t="n"/>
      <c r="Q74" s="54" t="n"/>
      <c r="R74" s="54" t="n"/>
      <c r="S74" s="54" t="n"/>
      <c r="T74" s="54" t="n"/>
    </row>
    <row r="75" ht="15" customHeight="1" s="41">
      <c r="A75" s="54" t="n"/>
      <c r="B75" s="54" t="n"/>
      <c r="C75" s="54" t="n"/>
      <c r="D75" s="54" t="n"/>
      <c r="E75" s="54" t="n"/>
      <c r="F75" s="54" t="n"/>
      <c r="G75" s="54" t="n"/>
      <c r="H75" s="54" t="n"/>
      <c r="I75" s="54" t="n"/>
      <c r="J75" s="55">
        <f>IF(OR(G75="",H75=""),"",G75*H75/60)</f>
        <v/>
      </c>
      <c r="K75" s="56">
        <f>IF(J75="","",J75*Summary!$C$6)</f>
        <v/>
      </c>
      <c r="L75" s="54" t="n"/>
      <c r="M75" s="54" t="n"/>
      <c r="N75" s="54" t="n"/>
      <c r="O75" s="54" t="n"/>
      <c r="P75" s="54" t="n"/>
      <c r="Q75" s="54" t="n"/>
      <c r="R75" s="54" t="n"/>
      <c r="S75" s="54" t="n"/>
      <c r="T75" s="54" t="n"/>
    </row>
    <row r="76" ht="15" customHeight="1" s="41">
      <c r="A76" s="54" t="n"/>
      <c r="B76" s="54" t="n"/>
      <c r="C76" s="54" t="n"/>
      <c r="D76" s="54" t="n"/>
      <c r="E76" s="54" t="n"/>
      <c r="F76" s="54" t="n"/>
      <c r="G76" s="54" t="n"/>
      <c r="H76" s="54" t="n"/>
      <c r="I76" s="54" t="n"/>
      <c r="J76" s="55">
        <f>IF(OR(G76="",H76=""),"",G76*H76/60)</f>
        <v/>
      </c>
      <c r="K76" s="56">
        <f>IF(J76="","",J76*Summary!$C$6)</f>
        <v/>
      </c>
      <c r="L76" s="54" t="n"/>
      <c r="M76" s="54" t="n"/>
      <c r="N76" s="54" t="n"/>
      <c r="O76" s="54" t="n"/>
      <c r="P76" s="54" t="n"/>
      <c r="Q76" s="54" t="n"/>
      <c r="R76" s="54" t="n"/>
      <c r="S76" s="54" t="n"/>
      <c r="T76" s="54" t="n"/>
    </row>
    <row r="77" ht="15" customHeight="1" s="41">
      <c r="A77" s="54" t="n"/>
      <c r="B77" s="54" t="n"/>
      <c r="C77" s="54" t="n"/>
      <c r="D77" s="54" t="n"/>
      <c r="E77" s="54" t="n"/>
      <c r="F77" s="54" t="n"/>
      <c r="G77" s="54" t="n"/>
      <c r="H77" s="54" t="n"/>
      <c r="I77" s="54" t="n"/>
      <c r="J77" s="55">
        <f>IF(OR(G77="",H77=""),"",G77*H77/60)</f>
        <v/>
      </c>
      <c r="K77" s="56">
        <f>IF(J77="","",J77*Summary!$C$6)</f>
        <v/>
      </c>
      <c r="L77" s="54" t="n"/>
      <c r="M77" s="54" t="n"/>
      <c r="N77" s="54" t="n"/>
      <c r="O77" s="54" t="n"/>
      <c r="P77" s="54" t="n"/>
      <c r="Q77" s="54" t="n"/>
      <c r="R77" s="54" t="n"/>
      <c r="S77" s="54" t="n"/>
      <c r="T77" s="54" t="n"/>
    </row>
    <row r="78" ht="15" customHeight="1" s="41">
      <c r="A78" s="54" t="n"/>
      <c r="B78" s="54" t="n"/>
      <c r="C78" s="54" t="n"/>
      <c r="D78" s="54" t="n"/>
      <c r="E78" s="54" t="n"/>
      <c r="F78" s="54" t="n"/>
      <c r="G78" s="54" t="n"/>
      <c r="H78" s="54" t="n"/>
      <c r="I78" s="54" t="n"/>
      <c r="J78" s="55">
        <f>IF(OR(G78="",H78=""),"",G78*H78/60)</f>
        <v/>
      </c>
      <c r="K78" s="56">
        <f>IF(J78="","",J78*Summary!$C$6)</f>
        <v/>
      </c>
      <c r="L78" s="54" t="n"/>
      <c r="M78" s="54" t="n"/>
      <c r="N78" s="54" t="n"/>
      <c r="O78" s="54" t="n"/>
      <c r="P78" s="54" t="n"/>
      <c r="Q78" s="54" t="n"/>
      <c r="R78" s="54" t="n"/>
      <c r="S78" s="54" t="n"/>
      <c r="T78" s="54" t="n"/>
    </row>
    <row r="79" ht="15" customHeight="1" s="41">
      <c r="A79" s="54" t="n"/>
      <c r="B79" s="54" t="n"/>
      <c r="C79" s="54" t="n"/>
      <c r="D79" s="54" t="n"/>
      <c r="E79" s="54" t="n"/>
      <c r="F79" s="54" t="n"/>
      <c r="G79" s="54" t="n"/>
      <c r="H79" s="54" t="n"/>
      <c r="I79" s="54" t="n"/>
      <c r="J79" s="55">
        <f>IF(OR(G79="",H79=""),"",G79*H79/60)</f>
        <v/>
      </c>
      <c r="K79" s="56">
        <f>IF(J79="","",J79*Summary!$C$6)</f>
        <v/>
      </c>
      <c r="L79" s="54" t="n"/>
      <c r="M79" s="54" t="n"/>
      <c r="N79" s="54" t="n"/>
      <c r="O79" s="54" t="n"/>
      <c r="P79" s="54" t="n"/>
      <c r="Q79" s="54" t="n"/>
      <c r="R79" s="54" t="n"/>
      <c r="S79" s="54" t="n"/>
      <c r="T79" s="54" t="n"/>
    </row>
    <row r="80" ht="15" customHeight="1" s="41">
      <c r="A80" s="54" t="n"/>
      <c r="B80" s="54" t="n"/>
      <c r="C80" s="54" t="n"/>
      <c r="D80" s="54" t="n"/>
      <c r="E80" s="54" t="n"/>
      <c r="F80" s="54" t="n"/>
      <c r="G80" s="54" t="n"/>
      <c r="H80" s="54" t="n"/>
      <c r="I80" s="54" t="n"/>
      <c r="J80" s="55">
        <f>IF(OR(G80="",H80=""),"",G80*H80/60)</f>
        <v/>
      </c>
      <c r="K80" s="56">
        <f>IF(J80="","",J80*Summary!$C$6)</f>
        <v/>
      </c>
      <c r="L80" s="54" t="n"/>
      <c r="M80" s="54" t="n"/>
      <c r="N80" s="54" t="n"/>
      <c r="O80" s="54" t="n"/>
      <c r="P80" s="54" t="n"/>
      <c r="Q80" s="54" t="n"/>
      <c r="R80" s="54" t="n"/>
      <c r="S80" s="54" t="n"/>
      <c r="T80" s="54" t="n"/>
    </row>
    <row r="81" ht="15" customHeight="1" s="41">
      <c r="A81" s="54" t="n"/>
      <c r="B81" s="54" t="n"/>
      <c r="C81" s="54" t="n"/>
      <c r="D81" s="54" t="n"/>
      <c r="E81" s="54" t="n"/>
      <c r="F81" s="54" t="n"/>
      <c r="G81" s="54" t="n"/>
      <c r="H81" s="54" t="n"/>
      <c r="I81" s="54" t="n"/>
      <c r="J81" s="55">
        <f>IF(OR(G81="",H81=""),"",G81*H81/60)</f>
        <v/>
      </c>
      <c r="K81" s="56">
        <f>IF(J81="","",J81*Summary!$C$6)</f>
        <v/>
      </c>
      <c r="L81" s="54" t="n"/>
      <c r="M81" s="54" t="n"/>
      <c r="N81" s="54" t="n"/>
      <c r="O81" s="54" t="n"/>
      <c r="P81" s="54" t="n"/>
      <c r="Q81" s="54" t="n"/>
      <c r="R81" s="54" t="n"/>
      <c r="S81" s="54" t="n"/>
      <c r="T81" s="54" t="n"/>
    </row>
    <row r="82" ht="15" customHeight="1" s="41">
      <c r="A82" s="54" t="n"/>
      <c r="B82" s="54" t="n"/>
      <c r="C82" s="54" t="n"/>
      <c r="D82" s="54" t="n"/>
      <c r="E82" s="54" t="n"/>
      <c r="F82" s="54" t="n"/>
      <c r="G82" s="54" t="n"/>
      <c r="H82" s="54" t="n"/>
      <c r="I82" s="54" t="n"/>
      <c r="J82" s="55">
        <f>IF(OR(G82="",H82=""),"",G82*H82/60)</f>
        <v/>
      </c>
      <c r="K82" s="56">
        <f>IF(J82="","",J82*Summary!$C$6)</f>
        <v/>
      </c>
      <c r="L82" s="54" t="n"/>
      <c r="M82" s="54" t="n"/>
      <c r="N82" s="54" t="n"/>
      <c r="O82" s="54" t="n"/>
      <c r="P82" s="54" t="n"/>
      <c r="Q82" s="54" t="n"/>
      <c r="R82" s="54" t="n"/>
      <c r="S82" s="54" t="n"/>
      <c r="T82" s="54" t="n"/>
    </row>
    <row r="83" ht="15" customHeight="1" s="41">
      <c r="A83" s="54" t="n"/>
      <c r="B83" s="54" t="n"/>
      <c r="C83" s="54" t="n"/>
      <c r="D83" s="54" t="n"/>
      <c r="E83" s="54" t="n"/>
      <c r="F83" s="54" t="n"/>
      <c r="G83" s="54" t="n"/>
      <c r="H83" s="54" t="n"/>
      <c r="I83" s="54" t="n"/>
      <c r="J83" s="55">
        <f>IF(OR(G83="",H83=""),"",G83*H83/60)</f>
        <v/>
      </c>
      <c r="K83" s="56">
        <f>IF(J83="","",J83*Summary!$C$6)</f>
        <v/>
      </c>
      <c r="L83" s="54" t="n"/>
      <c r="M83" s="54" t="n"/>
      <c r="N83" s="54" t="n"/>
      <c r="O83" s="54" t="n"/>
      <c r="P83" s="54" t="n"/>
      <c r="Q83" s="54" t="n"/>
      <c r="R83" s="54" t="n"/>
      <c r="S83" s="54" t="n"/>
      <c r="T83" s="54" t="n"/>
    </row>
    <row r="84" ht="15" customHeight="1" s="41">
      <c r="A84" s="54" t="n"/>
      <c r="B84" s="54" t="n"/>
      <c r="C84" s="54" t="n"/>
      <c r="D84" s="54" t="n"/>
      <c r="E84" s="54" t="n"/>
      <c r="F84" s="54" t="n"/>
      <c r="G84" s="54" t="n"/>
      <c r="H84" s="54" t="n"/>
      <c r="I84" s="54" t="n"/>
      <c r="J84" s="55">
        <f>IF(OR(G84="",H84=""),"",G84*H84/60)</f>
        <v/>
      </c>
      <c r="K84" s="56">
        <f>IF(J84="","",J84*Summary!$C$6)</f>
        <v/>
      </c>
      <c r="L84" s="54" t="n"/>
      <c r="M84" s="54" t="n"/>
      <c r="N84" s="54" t="n"/>
      <c r="O84" s="54" t="n"/>
      <c r="P84" s="54" t="n"/>
      <c r="Q84" s="54" t="n"/>
      <c r="R84" s="54" t="n"/>
      <c r="S84" s="54" t="n"/>
      <c r="T84" s="54" t="n"/>
    </row>
    <row r="85" ht="15" customHeight="1" s="41">
      <c r="A85" s="54" t="n"/>
      <c r="B85" s="54" t="n"/>
      <c r="C85" s="54" t="n"/>
      <c r="D85" s="54" t="n"/>
      <c r="E85" s="54" t="n"/>
      <c r="F85" s="54" t="n"/>
      <c r="G85" s="54" t="n"/>
      <c r="H85" s="54" t="n"/>
      <c r="I85" s="54" t="n"/>
      <c r="J85" s="55">
        <f>IF(OR(G85="",H85=""),"",G85*H85/60)</f>
        <v/>
      </c>
      <c r="K85" s="56">
        <f>IF(J85="","",J85*Summary!$C$6)</f>
        <v/>
      </c>
      <c r="L85" s="54" t="n"/>
      <c r="M85" s="54" t="n"/>
      <c r="N85" s="54" t="n"/>
      <c r="O85" s="54" t="n"/>
      <c r="P85" s="54" t="n"/>
      <c r="Q85" s="54" t="n"/>
      <c r="R85" s="54" t="n"/>
      <c r="S85" s="54" t="n"/>
      <c r="T85" s="54" t="n"/>
    </row>
    <row r="86" ht="15" customHeight="1" s="41">
      <c r="A86" s="54" t="n"/>
      <c r="B86" s="54" t="n"/>
      <c r="C86" s="54" t="n"/>
      <c r="D86" s="54" t="n"/>
      <c r="E86" s="54" t="n"/>
      <c r="F86" s="54" t="n"/>
      <c r="G86" s="54" t="n"/>
      <c r="H86" s="54" t="n"/>
      <c r="I86" s="54" t="n"/>
      <c r="J86" s="55">
        <f>IF(OR(G86="",H86=""),"",G86*H86/60)</f>
        <v/>
      </c>
      <c r="K86" s="56">
        <f>IF(J86="","",J86*Summary!$C$6)</f>
        <v/>
      </c>
      <c r="L86" s="54" t="n"/>
      <c r="M86" s="54" t="n"/>
      <c r="N86" s="54" t="n"/>
      <c r="O86" s="54" t="n"/>
      <c r="P86" s="54" t="n"/>
      <c r="Q86" s="54" t="n"/>
      <c r="R86" s="54" t="n"/>
      <c r="S86" s="54" t="n"/>
      <c r="T86" s="54" t="n"/>
    </row>
    <row r="87" ht="15" customHeight="1" s="41">
      <c r="A87" s="54" t="n"/>
      <c r="B87" s="54" t="n"/>
      <c r="C87" s="54" t="n"/>
      <c r="D87" s="54" t="n"/>
      <c r="E87" s="54" t="n"/>
      <c r="F87" s="54" t="n"/>
      <c r="G87" s="54" t="n"/>
      <c r="H87" s="54" t="n"/>
      <c r="I87" s="54" t="n"/>
      <c r="J87" s="55">
        <f>IF(OR(G87="",H87=""),"",G87*H87/60)</f>
        <v/>
      </c>
      <c r="K87" s="56">
        <f>IF(J87="","",J87*Summary!$C$6)</f>
        <v/>
      </c>
      <c r="L87" s="54" t="n"/>
      <c r="M87" s="54" t="n"/>
      <c r="N87" s="54" t="n"/>
      <c r="O87" s="54" t="n"/>
      <c r="P87" s="54" t="n"/>
      <c r="Q87" s="54" t="n"/>
      <c r="R87" s="54" t="n"/>
      <c r="S87" s="54" t="n"/>
      <c r="T87" s="54" t="n"/>
    </row>
    <row r="88" ht="15" customHeight="1" s="41">
      <c r="A88" s="54" t="n"/>
      <c r="B88" s="54" t="n"/>
      <c r="C88" s="54" t="n"/>
      <c r="D88" s="54" t="n"/>
      <c r="E88" s="54" t="n"/>
      <c r="F88" s="54" t="n"/>
      <c r="G88" s="54" t="n"/>
      <c r="H88" s="54" t="n"/>
      <c r="I88" s="54" t="n"/>
      <c r="J88" s="55">
        <f>IF(OR(G88="",H88=""),"",G88*H88/60)</f>
        <v/>
      </c>
      <c r="K88" s="56">
        <f>IF(J88="","",J88*Summary!$C$6)</f>
        <v/>
      </c>
      <c r="L88" s="54" t="n"/>
      <c r="M88" s="54" t="n"/>
      <c r="N88" s="54" t="n"/>
      <c r="O88" s="54" t="n"/>
      <c r="P88" s="54" t="n"/>
      <c r="Q88" s="54" t="n"/>
      <c r="R88" s="54" t="n"/>
      <c r="S88" s="54" t="n"/>
      <c r="T88" s="54" t="n"/>
    </row>
    <row r="89" ht="15" customHeight="1" s="41">
      <c r="A89" s="54" t="n"/>
      <c r="B89" s="54" t="n"/>
      <c r="C89" s="54" t="n"/>
      <c r="D89" s="54" t="n"/>
      <c r="E89" s="54" t="n"/>
      <c r="F89" s="54" t="n"/>
      <c r="G89" s="54" t="n"/>
      <c r="H89" s="54" t="n"/>
      <c r="I89" s="54" t="n"/>
      <c r="J89" s="55">
        <f>IF(OR(G89="",H89=""),"",G89*H89/60)</f>
        <v/>
      </c>
      <c r="K89" s="56">
        <f>IF(J89="","",J89*Summary!$C$6)</f>
        <v/>
      </c>
      <c r="L89" s="54" t="n"/>
      <c r="M89" s="54" t="n"/>
      <c r="N89" s="54" t="n"/>
      <c r="O89" s="54" t="n"/>
      <c r="P89" s="54" t="n"/>
      <c r="Q89" s="54" t="n"/>
      <c r="R89" s="54" t="n"/>
      <c r="S89" s="54" t="n"/>
      <c r="T89" s="54" t="n"/>
    </row>
    <row r="90" ht="15" customHeight="1" s="41">
      <c r="A90" s="54" t="n"/>
      <c r="B90" s="54" t="n"/>
      <c r="C90" s="54" t="n"/>
      <c r="D90" s="54" t="n"/>
      <c r="E90" s="54" t="n"/>
      <c r="F90" s="54" t="n"/>
      <c r="G90" s="54" t="n"/>
      <c r="H90" s="54" t="n"/>
      <c r="I90" s="54" t="n"/>
      <c r="J90" s="55">
        <f>IF(OR(G90="",H90=""),"",G90*H90/60)</f>
        <v/>
      </c>
      <c r="K90" s="56">
        <f>IF(J90="","",J90*Summary!$C$6)</f>
        <v/>
      </c>
      <c r="L90" s="54" t="n"/>
      <c r="M90" s="54" t="n"/>
      <c r="N90" s="54" t="n"/>
      <c r="O90" s="54" t="n"/>
      <c r="P90" s="54" t="n"/>
      <c r="Q90" s="54" t="n"/>
      <c r="R90" s="54" t="n"/>
      <c r="S90" s="54" t="n"/>
      <c r="T90" s="54" t="n"/>
    </row>
    <row r="91" ht="15" customHeight="1" s="41">
      <c r="A91" s="54" t="n"/>
      <c r="B91" s="54" t="n"/>
      <c r="C91" s="54" t="n"/>
      <c r="D91" s="54" t="n"/>
      <c r="E91" s="54" t="n"/>
      <c r="F91" s="54" t="n"/>
      <c r="G91" s="54" t="n"/>
      <c r="H91" s="54" t="n"/>
      <c r="I91" s="54" t="n"/>
      <c r="J91" s="55">
        <f>IF(OR(G91="",H91=""),"",G91*H91/60)</f>
        <v/>
      </c>
      <c r="K91" s="56">
        <f>IF(J91="","",J91*Summary!$C$6)</f>
        <v/>
      </c>
      <c r="L91" s="54" t="n"/>
      <c r="M91" s="54" t="n"/>
      <c r="N91" s="54" t="n"/>
      <c r="O91" s="54" t="n"/>
      <c r="P91" s="54" t="n"/>
      <c r="Q91" s="54" t="n"/>
      <c r="R91" s="54" t="n"/>
      <c r="S91" s="54" t="n"/>
      <c r="T91" s="54" t="n"/>
    </row>
    <row r="92" ht="15" customHeight="1" s="41">
      <c r="A92" s="54" t="n"/>
      <c r="B92" s="54" t="n"/>
      <c r="C92" s="54" t="n"/>
      <c r="D92" s="54" t="n"/>
      <c r="E92" s="54" t="n"/>
      <c r="F92" s="54" t="n"/>
      <c r="G92" s="54" t="n"/>
      <c r="H92" s="54" t="n"/>
      <c r="I92" s="54" t="n"/>
      <c r="J92" s="55">
        <f>IF(OR(G92="",H92=""),"",G92*H92/60)</f>
        <v/>
      </c>
      <c r="K92" s="56">
        <f>IF(J92="","",J92*Summary!$C$6)</f>
        <v/>
      </c>
      <c r="L92" s="54" t="n"/>
      <c r="M92" s="54" t="n"/>
      <c r="N92" s="54" t="n"/>
      <c r="O92" s="54" t="n"/>
      <c r="P92" s="54" t="n"/>
      <c r="Q92" s="54" t="n"/>
      <c r="R92" s="54" t="n"/>
      <c r="S92" s="54" t="n"/>
      <c r="T92" s="54" t="n"/>
    </row>
    <row r="93" ht="15" customHeight="1" s="41">
      <c r="A93" s="54" t="n"/>
      <c r="B93" s="54" t="n"/>
      <c r="C93" s="54" t="n"/>
      <c r="D93" s="54" t="n"/>
      <c r="E93" s="54" t="n"/>
      <c r="F93" s="54" t="n"/>
      <c r="G93" s="54" t="n"/>
      <c r="H93" s="54" t="n"/>
      <c r="I93" s="54" t="n"/>
      <c r="J93" s="55">
        <f>IF(OR(G93="",H93=""),"",G93*H93/60)</f>
        <v/>
      </c>
      <c r="K93" s="56">
        <f>IF(J93="","",J93*Summary!$C$6)</f>
        <v/>
      </c>
      <c r="L93" s="54" t="n"/>
      <c r="M93" s="54" t="n"/>
      <c r="N93" s="54" t="n"/>
      <c r="O93" s="54" t="n"/>
      <c r="P93" s="54" t="n"/>
      <c r="Q93" s="54" t="n"/>
      <c r="R93" s="54" t="n"/>
      <c r="S93" s="54" t="n"/>
      <c r="T93" s="54" t="n"/>
    </row>
    <row r="94" ht="15" customHeight="1" s="41">
      <c r="A94" s="54" t="n"/>
      <c r="B94" s="54" t="n"/>
      <c r="C94" s="54" t="n"/>
      <c r="D94" s="54" t="n"/>
      <c r="E94" s="54" t="n"/>
      <c r="F94" s="54" t="n"/>
      <c r="G94" s="54" t="n"/>
      <c r="H94" s="54" t="n"/>
      <c r="I94" s="54" t="n"/>
      <c r="J94" s="55">
        <f>IF(OR(G94="",H94=""),"",G94*H94/60)</f>
        <v/>
      </c>
      <c r="K94" s="56">
        <f>IF(J94="","",J94*Summary!$C$6)</f>
        <v/>
      </c>
      <c r="L94" s="54" t="n"/>
      <c r="M94" s="54" t="n"/>
      <c r="N94" s="54" t="n"/>
      <c r="O94" s="54" t="n"/>
      <c r="P94" s="54" t="n"/>
      <c r="Q94" s="54" t="n"/>
      <c r="R94" s="54" t="n"/>
      <c r="S94" s="54" t="n"/>
      <c r="T94" s="54" t="n"/>
    </row>
    <row r="95" ht="15" customHeight="1" s="41">
      <c r="A95" s="54" t="n"/>
      <c r="B95" s="54" t="n"/>
      <c r="C95" s="54" t="n"/>
      <c r="D95" s="54" t="n"/>
      <c r="E95" s="54" t="n"/>
      <c r="F95" s="54" t="n"/>
      <c r="G95" s="54" t="n"/>
      <c r="H95" s="54" t="n"/>
      <c r="I95" s="54" t="n"/>
      <c r="J95" s="55">
        <f>IF(OR(G95="",H95=""),"",G95*H95/60)</f>
        <v/>
      </c>
      <c r="K95" s="56">
        <f>IF(J95="","",J95*Summary!$C$6)</f>
        <v/>
      </c>
      <c r="L95" s="54" t="n"/>
      <c r="M95" s="54" t="n"/>
      <c r="N95" s="54" t="n"/>
      <c r="O95" s="54" t="n"/>
      <c r="P95" s="54" t="n"/>
      <c r="Q95" s="54" t="n"/>
      <c r="R95" s="54" t="n"/>
      <c r="S95" s="54" t="n"/>
      <c r="T95" s="54" t="n"/>
    </row>
    <row r="96" ht="15" customHeight="1" s="41">
      <c r="A96" s="54" t="n"/>
      <c r="B96" s="54" t="n"/>
      <c r="C96" s="54" t="n"/>
      <c r="D96" s="54" t="n"/>
      <c r="E96" s="54" t="n"/>
      <c r="F96" s="54" t="n"/>
      <c r="G96" s="54" t="n"/>
      <c r="H96" s="54" t="n"/>
      <c r="I96" s="54" t="n"/>
      <c r="J96" s="55">
        <f>IF(OR(G96="",H96=""),"",G96*H96/60)</f>
        <v/>
      </c>
      <c r="K96" s="56">
        <f>IF(J96="","",J96*Summary!$C$6)</f>
        <v/>
      </c>
      <c r="L96" s="54" t="n"/>
      <c r="M96" s="54" t="n"/>
      <c r="N96" s="54" t="n"/>
      <c r="O96" s="54" t="n"/>
      <c r="P96" s="54" t="n"/>
      <c r="Q96" s="54" t="n"/>
      <c r="R96" s="54" t="n"/>
      <c r="S96" s="54" t="n"/>
      <c r="T96" s="54" t="n"/>
    </row>
    <row r="97" ht="15" customHeight="1" s="41">
      <c r="A97" s="54" t="n"/>
      <c r="B97" s="54" t="n"/>
      <c r="C97" s="54" t="n"/>
      <c r="D97" s="54" t="n"/>
      <c r="E97" s="54" t="n"/>
      <c r="F97" s="54" t="n"/>
      <c r="G97" s="54" t="n"/>
      <c r="H97" s="54" t="n"/>
      <c r="I97" s="54" t="n"/>
      <c r="J97" s="55">
        <f>IF(OR(G97="",H97=""),"",G97*H97/60)</f>
        <v/>
      </c>
      <c r="K97" s="56">
        <f>IF(J97="","",J97*Summary!$C$6)</f>
        <v/>
      </c>
      <c r="L97" s="54" t="n"/>
      <c r="M97" s="54" t="n"/>
      <c r="N97" s="54" t="n"/>
      <c r="O97" s="54" t="n"/>
      <c r="P97" s="54" t="n"/>
      <c r="Q97" s="54" t="n"/>
      <c r="R97" s="54" t="n"/>
      <c r="S97" s="54" t="n"/>
      <c r="T97" s="54" t="n"/>
    </row>
    <row r="98" ht="15" customHeight="1" s="41">
      <c r="A98" s="54" t="n"/>
      <c r="B98" s="54" t="n"/>
      <c r="C98" s="54" t="n"/>
      <c r="D98" s="54" t="n"/>
      <c r="E98" s="54" t="n"/>
      <c r="F98" s="54" t="n"/>
      <c r="G98" s="54" t="n"/>
      <c r="H98" s="54" t="n"/>
      <c r="I98" s="54" t="n"/>
      <c r="J98" s="55">
        <f>IF(OR(G98="",H98=""),"",G98*H98/60)</f>
        <v/>
      </c>
      <c r="K98" s="56">
        <f>IF(J98="","",J98*Summary!$C$6)</f>
        <v/>
      </c>
      <c r="L98" s="54" t="n"/>
      <c r="M98" s="54" t="n"/>
      <c r="N98" s="54" t="n"/>
      <c r="O98" s="54" t="n"/>
      <c r="P98" s="54" t="n"/>
      <c r="Q98" s="54" t="n"/>
      <c r="R98" s="54" t="n"/>
      <c r="S98" s="54" t="n"/>
      <c r="T98" s="54" t="n"/>
    </row>
    <row r="99" ht="15" customHeight="1" s="41">
      <c r="A99" s="54" t="n"/>
      <c r="B99" s="54" t="n"/>
      <c r="C99" s="54" t="n"/>
      <c r="D99" s="54" t="n"/>
      <c r="E99" s="54" t="n"/>
      <c r="F99" s="54" t="n"/>
      <c r="G99" s="54" t="n"/>
      <c r="H99" s="54" t="n"/>
      <c r="I99" s="54" t="n"/>
      <c r="J99" s="55">
        <f>IF(OR(G99="",H99=""),"",G99*H99/60)</f>
        <v/>
      </c>
      <c r="K99" s="56">
        <f>IF(J99="","",J99*Summary!$C$6)</f>
        <v/>
      </c>
      <c r="L99" s="54" t="n"/>
      <c r="M99" s="54" t="n"/>
      <c r="N99" s="54" t="n"/>
      <c r="O99" s="54" t="n"/>
      <c r="P99" s="54" t="n"/>
      <c r="Q99" s="54" t="n"/>
      <c r="R99" s="54" t="n"/>
      <c r="S99" s="54" t="n"/>
      <c r="T99" s="54" t="n"/>
    </row>
    <row r="100" ht="15" customHeight="1" s="41">
      <c r="A100" s="54" t="n"/>
      <c r="B100" s="54" t="n"/>
      <c r="C100" s="54" t="n"/>
      <c r="D100" s="54" t="n"/>
      <c r="E100" s="54" t="n"/>
      <c r="F100" s="54" t="n"/>
      <c r="G100" s="54" t="n"/>
      <c r="H100" s="54" t="n"/>
      <c r="I100" s="54" t="n"/>
      <c r="J100" s="55">
        <f>IF(OR(G100="",H100=""),"",G100*H100/60)</f>
        <v/>
      </c>
      <c r="K100" s="56">
        <f>IF(J100="","",J100*Summary!$C$6)</f>
        <v/>
      </c>
      <c r="L100" s="54" t="n"/>
      <c r="M100" s="54" t="n"/>
      <c r="N100" s="54" t="n"/>
      <c r="O100" s="54" t="n"/>
      <c r="P100" s="54" t="n"/>
      <c r="Q100" s="54" t="n"/>
      <c r="R100" s="54" t="n"/>
      <c r="S100" s="54" t="n"/>
      <c r="T100" s="54" t="n"/>
    </row>
    <row r="101" ht="15" customHeight="1" s="41">
      <c r="A101" s="54" t="n"/>
      <c r="B101" s="54" t="n"/>
      <c r="C101" s="54" t="n"/>
      <c r="D101" s="54" t="n"/>
      <c r="E101" s="54" t="n"/>
      <c r="F101" s="54" t="n"/>
      <c r="G101" s="54" t="n"/>
      <c r="H101" s="54" t="n"/>
      <c r="I101" s="54" t="n"/>
      <c r="J101" s="55">
        <f>IF(OR(G101="",H101=""),"",G101*H101/60)</f>
        <v/>
      </c>
      <c r="K101" s="56">
        <f>IF(J101="","",J101*Summary!$C$6)</f>
        <v/>
      </c>
      <c r="L101" s="54" t="n"/>
      <c r="M101" s="54" t="n"/>
      <c r="N101" s="54" t="n"/>
      <c r="O101" s="54" t="n"/>
      <c r="P101" s="54" t="n"/>
      <c r="Q101" s="54" t="n"/>
      <c r="R101" s="54" t="n"/>
      <c r="S101" s="54" t="n"/>
      <c r="T101" s="54" t="n"/>
    </row>
    <row r="102" ht="15" customHeight="1" s="41">
      <c r="A102" s="54" t="n"/>
      <c r="B102" s="54" t="n"/>
      <c r="C102" s="54" t="n"/>
      <c r="D102" s="54" t="n"/>
      <c r="E102" s="54" t="n"/>
      <c r="F102" s="54" t="n"/>
      <c r="G102" s="54" t="n"/>
      <c r="H102" s="54" t="n"/>
      <c r="I102" s="54" t="n"/>
      <c r="J102" s="55">
        <f>IF(OR(G102="",H102=""),"",G102*H102/60)</f>
        <v/>
      </c>
      <c r="K102" s="56">
        <f>IF(J102="","",J102*Summary!$C$6)</f>
        <v/>
      </c>
      <c r="L102" s="54" t="n"/>
      <c r="M102" s="54" t="n"/>
      <c r="N102" s="54" t="n"/>
      <c r="O102" s="54" t="n"/>
      <c r="P102" s="54" t="n"/>
      <c r="Q102" s="54" t="n"/>
      <c r="R102" s="54" t="n"/>
      <c r="S102" s="54" t="n"/>
      <c r="T102" s="54" t="n"/>
    </row>
    <row r="103" ht="15" customHeight="1" s="41">
      <c r="A103" s="54" t="n"/>
      <c r="B103" s="54" t="n"/>
      <c r="C103" s="54" t="n"/>
      <c r="D103" s="54" t="n"/>
      <c r="E103" s="54" t="n"/>
      <c r="F103" s="54" t="n"/>
      <c r="G103" s="54" t="n"/>
      <c r="H103" s="54" t="n"/>
      <c r="I103" s="54" t="n"/>
      <c r="J103" s="55">
        <f>IF(OR(G103="",H103=""),"",G103*H103/60)</f>
        <v/>
      </c>
      <c r="K103" s="56">
        <f>IF(J103="","",J103*Summary!$C$6)</f>
        <v/>
      </c>
      <c r="L103" s="54" t="n"/>
      <c r="M103" s="54" t="n"/>
      <c r="N103" s="54" t="n"/>
      <c r="O103" s="54" t="n"/>
      <c r="P103" s="54" t="n"/>
      <c r="Q103" s="54" t="n"/>
      <c r="R103" s="54" t="n"/>
      <c r="S103" s="54" t="n"/>
      <c r="T103" s="54" t="n"/>
    </row>
    <row r="104" ht="15" customHeight="1" s="41">
      <c r="A104" s="54" t="n"/>
      <c r="B104" s="54" t="n"/>
      <c r="C104" s="54" t="n"/>
      <c r="D104" s="54" t="n"/>
      <c r="E104" s="54" t="n"/>
      <c r="F104" s="54" t="n"/>
      <c r="G104" s="54" t="n"/>
      <c r="H104" s="54" t="n"/>
      <c r="I104" s="54" t="n"/>
      <c r="J104" s="55">
        <f>IF(OR(G104="",H104=""),"",G104*H104/60)</f>
        <v/>
      </c>
      <c r="K104" s="56">
        <f>IF(J104="","",J104*Summary!$C$6)</f>
        <v/>
      </c>
      <c r="L104" s="54" t="n"/>
      <c r="M104" s="54" t="n"/>
      <c r="N104" s="54" t="n"/>
      <c r="O104" s="54" t="n"/>
      <c r="P104" s="54" t="n"/>
      <c r="Q104" s="54" t="n"/>
      <c r="R104" s="54" t="n"/>
      <c r="S104" s="54" t="n"/>
      <c r="T104" s="54" t="n"/>
    </row>
    <row r="105" ht="15" customHeight="1" s="41">
      <c r="A105" s="54" t="n"/>
      <c r="B105" s="54" t="n"/>
      <c r="C105" s="54" t="n"/>
      <c r="D105" s="54" t="n"/>
      <c r="E105" s="54" t="n"/>
      <c r="F105" s="54" t="n"/>
      <c r="G105" s="54" t="n"/>
      <c r="H105" s="54" t="n"/>
      <c r="I105" s="54" t="n"/>
      <c r="J105" s="55">
        <f>IF(OR(G105="",H105=""),"",G105*H105/60)</f>
        <v/>
      </c>
      <c r="K105" s="56">
        <f>IF(J105="","",J105*Summary!$C$6)</f>
        <v/>
      </c>
      <c r="L105" s="54" t="n"/>
      <c r="M105" s="54" t="n"/>
      <c r="N105" s="54" t="n"/>
      <c r="O105" s="54" t="n"/>
      <c r="P105" s="54" t="n"/>
      <c r="Q105" s="54" t="n"/>
      <c r="R105" s="54" t="n"/>
      <c r="S105" s="54" t="n"/>
      <c r="T105" s="54" t="n"/>
    </row>
    <row r="106" ht="15" customHeight="1" s="41">
      <c r="A106" s="54" t="n"/>
      <c r="B106" s="54" t="n"/>
      <c r="C106" s="54" t="n"/>
      <c r="D106" s="54" t="n"/>
      <c r="E106" s="54" t="n"/>
      <c r="F106" s="54" t="n"/>
      <c r="G106" s="54" t="n"/>
      <c r="H106" s="54" t="n"/>
      <c r="I106" s="54" t="n"/>
      <c r="J106" s="55">
        <f>IF(OR(G106="",H106=""),"",G106*H106/60)</f>
        <v/>
      </c>
      <c r="K106" s="56">
        <f>IF(J106="","",J106*Summary!$C$6)</f>
        <v/>
      </c>
      <c r="L106" s="54" t="n"/>
      <c r="M106" s="54" t="n"/>
      <c r="N106" s="54" t="n"/>
      <c r="O106" s="54" t="n"/>
      <c r="P106" s="54" t="n"/>
      <c r="Q106" s="54" t="n"/>
      <c r="R106" s="54" t="n"/>
      <c r="S106" s="54" t="n"/>
      <c r="T106" s="54" t="n"/>
    </row>
    <row r="107" ht="15" customHeight="1" s="41">
      <c r="A107" s="54" t="n"/>
      <c r="B107" s="54" t="n"/>
      <c r="C107" s="54" t="n"/>
      <c r="D107" s="54" t="n"/>
      <c r="E107" s="54" t="n"/>
      <c r="F107" s="54" t="n"/>
      <c r="G107" s="54" t="n"/>
      <c r="H107" s="54" t="n"/>
      <c r="I107" s="54" t="n"/>
      <c r="J107" s="55">
        <f>IF(OR(G107="",H107=""),"",G107*H107/60)</f>
        <v/>
      </c>
      <c r="K107" s="56">
        <f>IF(J107="","",J107*Summary!$C$6)</f>
        <v/>
      </c>
      <c r="L107" s="54" t="n"/>
      <c r="M107" s="54" t="n"/>
      <c r="N107" s="54" t="n"/>
      <c r="O107" s="54" t="n"/>
      <c r="P107" s="54" t="n"/>
      <c r="Q107" s="54" t="n"/>
      <c r="R107" s="54" t="n"/>
      <c r="S107" s="54" t="n"/>
      <c r="T107" s="54" t="n"/>
    </row>
    <row r="108" ht="15" customHeight="1" s="41">
      <c r="A108" s="54" t="n"/>
      <c r="B108" s="54" t="n"/>
      <c r="C108" s="54" t="n"/>
      <c r="D108" s="54" t="n"/>
      <c r="E108" s="54" t="n"/>
      <c r="F108" s="54" t="n"/>
      <c r="G108" s="54" t="n"/>
      <c r="H108" s="54" t="n"/>
      <c r="I108" s="54" t="n"/>
      <c r="J108" s="55">
        <f>IF(OR(G108="",H108=""),"",G108*H108/60)</f>
        <v/>
      </c>
      <c r="K108" s="56">
        <f>IF(J108="","",J108*Summary!$C$6)</f>
        <v/>
      </c>
      <c r="L108" s="54" t="n"/>
      <c r="M108" s="54" t="n"/>
      <c r="N108" s="54" t="n"/>
      <c r="O108" s="54" t="n"/>
      <c r="P108" s="54" t="n"/>
      <c r="Q108" s="54" t="n"/>
      <c r="R108" s="54" t="n"/>
      <c r="S108" s="54" t="n"/>
      <c r="T108" s="54" t="n"/>
    </row>
    <row r="109" ht="15" customHeight="1" s="41">
      <c r="A109" s="54" t="n"/>
      <c r="B109" s="54" t="n"/>
      <c r="C109" s="54" t="n"/>
      <c r="D109" s="54" t="n"/>
      <c r="E109" s="54" t="n"/>
      <c r="F109" s="54" t="n"/>
      <c r="G109" s="54" t="n"/>
      <c r="H109" s="54" t="n"/>
      <c r="I109" s="54" t="n"/>
      <c r="J109" s="55">
        <f>IF(OR(G109="",H109=""),"",G109*H109/60)</f>
        <v/>
      </c>
      <c r="K109" s="56">
        <f>IF(J109="","",J109*Summary!$C$6)</f>
        <v/>
      </c>
      <c r="L109" s="54" t="n"/>
      <c r="M109" s="54" t="n"/>
      <c r="N109" s="54" t="n"/>
      <c r="O109" s="54" t="n"/>
      <c r="P109" s="54" t="n"/>
      <c r="Q109" s="54" t="n"/>
      <c r="R109" s="54" t="n"/>
      <c r="S109" s="54" t="n"/>
      <c r="T109" s="54" t="n"/>
    </row>
    <row r="110" ht="15" customHeight="1" s="41">
      <c r="A110" s="54" t="n"/>
      <c r="B110" s="54" t="n"/>
      <c r="C110" s="54" t="n"/>
      <c r="D110" s="54" t="n"/>
      <c r="E110" s="54" t="n"/>
      <c r="F110" s="54" t="n"/>
      <c r="G110" s="54" t="n"/>
      <c r="H110" s="54" t="n"/>
      <c r="I110" s="54" t="n"/>
      <c r="J110" s="55">
        <f>IF(OR(G110="",H110=""),"",G110*H110/60)</f>
        <v/>
      </c>
      <c r="K110" s="56">
        <f>IF(J110="","",J110*Summary!$C$6)</f>
        <v/>
      </c>
      <c r="L110" s="54" t="n"/>
      <c r="M110" s="54" t="n"/>
      <c r="N110" s="54" t="n"/>
      <c r="O110" s="54" t="n"/>
      <c r="P110" s="54" t="n"/>
      <c r="Q110" s="54" t="n"/>
      <c r="R110" s="54" t="n"/>
      <c r="S110" s="54" t="n"/>
      <c r="T110" s="54" t="n"/>
    </row>
    <row r="111" ht="15" customHeight="1" s="41">
      <c r="A111" s="54" t="n"/>
      <c r="B111" s="54" t="n"/>
      <c r="C111" s="54" t="n"/>
      <c r="D111" s="54" t="n"/>
      <c r="E111" s="54" t="n"/>
      <c r="F111" s="54" t="n"/>
      <c r="G111" s="54" t="n"/>
      <c r="H111" s="54" t="n"/>
      <c r="I111" s="54" t="n"/>
      <c r="J111" s="55">
        <f>IF(OR(G111="",H111=""),"",G111*H111/60)</f>
        <v/>
      </c>
      <c r="K111" s="56">
        <f>IF(J111="","",J111*Summary!$C$6)</f>
        <v/>
      </c>
      <c r="L111" s="54" t="n"/>
      <c r="M111" s="54" t="n"/>
      <c r="N111" s="54" t="n"/>
      <c r="O111" s="54" t="n"/>
      <c r="P111" s="54" t="n"/>
      <c r="Q111" s="54" t="n"/>
      <c r="R111" s="54" t="n"/>
      <c r="S111" s="54" t="n"/>
      <c r="T111" s="54" t="n"/>
    </row>
    <row r="112" ht="15" customHeight="1" s="41">
      <c r="A112" s="54" t="n"/>
      <c r="B112" s="54" t="n"/>
      <c r="C112" s="54" t="n"/>
      <c r="D112" s="54" t="n"/>
      <c r="E112" s="54" t="n"/>
      <c r="F112" s="54" t="n"/>
      <c r="G112" s="54" t="n"/>
      <c r="H112" s="54" t="n"/>
      <c r="I112" s="54" t="n"/>
      <c r="J112" s="55">
        <f>IF(OR(G112="",H112=""),"",G112*H112/60)</f>
        <v/>
      </c>
      <c r="K112" s="56">
        <f>IF(J112="","",J112*Summary!$C$6)</f>
        <v/>
      </c>
      <c r="L112" s="54" t="n"/>
      <c r="M112" s="54" t="n"/>
      <c r="N112" s="54" t="n"/>
      <c r="O112" s="54" t="n"/>
      <c r="P112" s="54" t="n"/>
      <c r="Q112" s="54" t="n"/>
      <c r="R112" s="54" t="n"/>
      <c r="S112" s="54" t="n"/>
      <c r="T112" s="54" t="n"/>
    </row>
    <row r="113" ht="15" customHeight="1" s="41">
      <c r="A113" s="54" t="n"/>
      <c r="B113" s="54" t="n"/>
      <c r="C113" s="54" t="n"/>
      <c r="D113" s="54" t="n"/>
      <c r="E113" s="54" t="n"/>
      <c r="F113" s="54" t="n"/>
      <c r="G113" s="54" t="n"/>
      <c r="H113" s="54" t="n"/>
      <c r="I113" s="54" t="n"/>
      <c r="J113" s="55">
        <f>IF(OR(G113="",H113=""),"",G113*H113/60)</f>
        <v/>
      </c>
      <c r="K113" s="56">
        <f>IF(J113="","",J113*Summary!$C$6)</f>
        <v/>
      </c>
      <c r="L113" s="54" t="n"/>
      <c r="M113" s="54" t="n"/>
      <c r="N113" s="54" t="n"/>
      <c r="O113" s="54" t="n"/>
      <c r="P113" s="54" t="n"/>
      <c r="Q113" s="54" t="n"/>
      <c r="R113" s="54" t="n"/>
      <c r="S113" s="54" t="n"/>
      <c r="T113" s="54" t="n"/>
    </row>
    <row r="114" ht="15" customHeight="1" s="41">
      <c r="A114" s="54" t="n"/>
      <c r="B114" s="54" t="n"/>
      <c r="C114" s="54" t="n"/>
      <c r="D114" s="54" t="n"/>
      <c r="E114" s="54" t="n"/>
      <c r="F114" s="54" t="n"/>
      <c r="G114" s="54" t="n"/>
      <c r="H114" s="54" t="n"/>
      <c r="I114" s="54" t="n"/>
      <c r="J114" s="55">
        <f>IF(OR(G114="",H114=""),"",G114*H114/60)</f>
        <v/>
      </c>
      <c r="K114" s="56">
        <f>IF(J114="","",J114*Summary!$C$6)</f>
        <v/>
      </c>
      <c r="L114" s="54" t="n"/>
      <c r="M114" s="54" t="n"/>
      <c r="N114" s="54" t="n"/>
      <c r="O114" s="54" t="n"/>
      <c r="P114" s="54" t="n"/>
      <c r="Q114" s="54" t="n"/>
      <c r="R114" s="54" t="n"/>
      <c r="S114" s="54" t="n"/>
      <c r="T114" s="54" t="n"/>
    </row>
    <row r="115" ht="15" customHeight="1" s="41">
      <c r="A115" s="54" t="n"/>
      <c r="B115" s="54" t="n"/>
      <c r="C115" s="54" t="n"/>
      <c r="D115" s="54" t="n"/>
      <c r="E115" s="54" t="n"/>
      <c r="F115" s="54" t="n"/>
      <c r="G115" s="54" t="n"/>
      <c r="H115" s="54" t="n"/>
      <c r="I115" s="54" t="n"/>
      <c r="J115" s="55">
        <f>IF(OR(G115="",H115=""),"",G115*H115/60)</f>
        <v/>
      </c>
      <c r="K115" s="56">
        <f>IF(J115="","",J115*Summary!$C$6)</f>
        <v/>
      </c>
      <c r="L115" s="54" t="n"/>
      <c r="M115" s="54" t="n"/>
      <c r="N115" s="54" t="n"/>
      <c r="O115" s="54" t="n"/>
      <c r="P115" s="54" t="n"/>
      <c r="Q115" s="54" t="n"/>
      <c r="R115" s="54" t="n"/>
      <c r="S115" s="54" t="n"/>
      <c r="T115" s="54" t="n"/>
    </row>
    <row r="116" ht="15" customHeight="1" s="41">
      <c r="A116" s="54" t="n"/>
      <c r="B116" s="54" t="n"/>
      <c r="C116" s="54" t="n"/>
      <c r="D116" s="54" t="n"/>
      <c r="E116" s="54" t="n"/>
      <c r="F116" s="54" t="n"/>
      <c r="G116" s="54" t="n"/>
      <c r="H116" s="54" t="n"/>
      <c r="I116" s="54" t="n"/>
      <c r="J116" s="55">
        <f>IF(OR(G116="",H116=""),"",G116*H116/60)</f>
        <v/>
      </c>
      <c r="K116" s="56">
        <f>IF(J116="","",J116*Summary!$C$6)</f>
        <v/>
      </c>
      <c r="L116" s="54" t="n"/>
      <c r="M116" s="54" t="n"/>
      <c r="N116" s="54" t="n"/>
      <c r="O116" s="54" t="n"/>
      <c r="P116" s="54" t="n"/>
      <c r="Q116" s="54" t="n"/>
      <c r="R116" s="54" t="n"/>
      <c r="S116" s="54" t="n"/>
      <c r="T116" s="54" t="n"/>
    </row>
    <row r="117" ht="15" customHeight="1" s="41">
      <c r="A117" s="54" t="n"/>
      <c r="B117" s="54" t="n"/>
      <c r="C117" s="54" t="n"/>
      <c r="D117" s="54" t="n"/>
      <c r="E117" s="54" t="n"/>
      <c r="F117" s="54" t="n"/>
      <c r="G117" s="54" t="n"/>
      <c r="H117" s="54" t="n"/>
      <c r="I117" s="54" t="n"/>
      <c r="J117" s="55">
        <f>IF(OR(G117="",H117=""),"",G117*H117/60)</f>
        <v/>
      </c>
      <c r="K117" s="56">
        <f>IF(J117="","",J117*Summary!$C$6)</f>
        <v/>
      </c>
      <c r="L117" s="54" t="n"/>
      <c r="M117" s="54" t="n"/>
      <c r="N117" s="54" t="n"/>
      <c r="O117" s="54" t="n"/>
      <c r="P117" s="54" t="n"/>
      <c r="Q117" s="54" t="n"/>
      <c r="R117" s="54" t="n"/>
      <c r="S117" s="54" t="n"/>
      <c r="T117" s="54" t="n"/>
    </row>
    <row r="118" ht="15" customHeight="1" s="41">
      <c r="A118" s="54" t="n"/>
      <c r="B118" s="54" t="n"/>
      <c r="C118" s="54" t="n"/>
      <c r="D118" s="54" t="n"/>
      <c r="E118" s="54" t="n"/>
      <c r="F118" s="54" t="n"/>
      <c r="G118" s="54" t="n"/>
      <c r="H118" s="54" t="n"/>
      <c r="I118" s="54" t="n"/>
      <c r="J118" s="55">
        <f>IF(OR(G118="",H118=""),"",G118*H118/60)</f>
        <v/>
      </c>
      <c r="K118" s="56">
        <f>IF(J118="","",J118*Summary!$C$6)</f>
        <v/>
      </c>
      <c r="L118" s="54" t="n"/>
      <c r="M118" s="54" t="n"/>
      <c r="N118" s="54" t="n"/>
      <c r="O118" s="54" t="n"/>
      <c r="P118" s="54" t="n"/>
      <c r="Q118" s="54" t="n"/>
      <c r="R118" s="54" t="n"/>
      <c r="S118" s="54" t="n"/>
      <c r="T118" s="54" t="n"/>
    </row>
    <row r="119" ht="15" customHeight="1" s="41">
      <c r="A119" s="54" t="n"/>
      <c r="B119" s="54" t="n"/>
      <c r="C119" s="54" t="n"/>
      <c r="D119" s="54" t="n"/>
      <c r="E119" s="54" t="n"/>
      <c r="F119" s="54" t="n"/>
      <c r="G119" s="54" t="n"/>
      <c r="H119" s="54" t="n"/>
      <c r="I119" s="54" t="n"/>
      <c r="J119" s="55">
        <f>IF(OR(G119="",H119=""),"",G119*H119/60)</f>
        <v/>
      </c>
      <c r="K119" s="56">
        <f>IF(J119="","",J119*Summary!$C$6)</f>
        <v/>
      </c>
      <c r="L119" s="54" t="n"/>
      <c r="M119" s="54" t="n"/>
      <c r="N119" s="54" t="n"/>
      <c r="O119" s="54" t="n"/>
      <c r="P119" s="54" t="n"/>
      <c r="Q119" s="54" t="n"/>
      <c r="R119" s="54" t="n"/>
      <c r="S119" s="54" t="n"/>
      <c r="T119" s="54" t="n"/>
    </row>
    <row r="120" ht="15" customHeight="1" s="41">
      <c r="A120" s="54" t="n"/>
      <c r="B120" s="54" t="n"/>
      <c r="C120" s="54" t="n"/>
      <c r="D120" s="54" t="n"/>
      <c r="E120" s="54" t="n"/>
      <c r="F120" s="54" t="n"/>
      <c r="G120" s="54" t="n"/>
      <c r="H120" s="54" t="n"/>
      <c r="I120" s="54" t="n"/>
      <c r="J120" s="55">
        <f>IF(OR(G120="",H120=""),"",G120*H120/60)</f>
        <v/>
      </c>
      <c r="K120" s="56">
        <f>IF(J120="","",J120*Summary!$C$6)</f>
        <v/>
      </c>
      <c r="L120" s="54" t="n"/>
      <c r="M120" s="54" t="n"/>
      <c r="N120" s="54" t="n"/>
      <c r="O120" s="54" t="n"/>
      <c r="P120" s="54" t="n"/>
      <c r="Q120" s="54" t="n"/>
      <c r="R120" s="54" t="n"/>
      <c r="S120" s="54" t="n"/>
      <c r="T120" s="54" t="n"/>
    </row>
    <row r="121" ht="15" customHeight="1" s="41">
      <c r="A121" s="54" t="n"/>
      <c r="B121" s="54" t="n"/>
      <c r="C121" s="54" t="n"/>
      <c r="D121" s="54" t="n"/>
      <c r="E121" s="54" t="n"/>
      <c r="F121" s="54" t="n"/>
      <c r="G121" s="54" t="n"/>
      <c r="H121" s="54" t="n"/>
      <c r="I121" s="54" t="n"/>
      <c r="J121" s="55">
        <f>IF(OR(G121="",H121=""),"",G121*H121/60)</f>
        <v/>
      </c>
      <c r="K121" s="56">
        <f>IF(J121="","",J121*Summary!$C$6)</f>
        <v/>
      </c>
      <c r="L121" s="54" t="n"/>
      <c r="M121" s="54" t="n"/>
      <c r="N121" s="54" t="n"/>
      <c r="O121" s="54" t="n"/>
      <c r="P121" s="54" t="n"/>
      <c r="Q121" s="54" t="n"/>
      <c r="R121" s="54" t="n"/>
      <c r="S121" s="54" t="n"/>
      <c r="T121" s="54" t="n"/>
    </row>
    <row r="122" ht="15" customHeight="1" s="41">
      <c r="A122" s="54" t="n"/>
      <c r="B122" s="54" t="n"/>
      <c r="C122" s="54" t="n"/>
      <c r="D122" s="54" t="n"/>
      <c r="E122" s="54" t="n"/>
      <c r="F122" s="54" t="n"/>
      <c r="G122" s="54" t="n"/>
      <c r="H122" s="54" t="n"/>
      <c r="I122" s="54" t="n"/>
      <c r="J122" s="55">
        <f>IF(OR(G122="",H122=""),"",G122*H122/60)</f>
        <v/>
      </c>
      <c r="K122" s="56">
        <f>IF(J122="","",J122*Summary!$C$6)</f>
        <v/>
      </c>
      <c r="L122" s="54" t="n"/>
      <c r="M122" s="54" t="n"/>
      <c r="N122" s="54" t="n"/>
      <c r="O122" s="54" t="n"/>
      <c r="P122" s="54" t="n"/>
      <c r="Q122" s="54" t="n"/>
      <c r="R122" s="54" t="n"/>
      <c r="S122" s="54" t="n"/>
      <c r="T122" s="54" t="n"/>
    </row>
    <row r="123" ht="15" customHeight="1" s="41">
      <c r="A123" s="54" t="n"/>
      <c r="B123" s="54" t="n"/>
      <c r="C123" s="54" t="n"/>
      <c r="D123" s="54" t="n"/>
      <c r="E123" s="54" t="n"/>
      <c r="F123" s="54" t="n"/>
      <c r="G123" s="54" t="n"/>
      <c r="H123" s="54" t="n"/>
      <c r="I123" s="54" t="n"/>
      <c r="J123" s="55">
        <f>IF(OR(G123="",H123=""),"",G123*H123/60)</f>
        <v/>
      </c>
      <c r="K123" s="56">
        <f>IF(J123="","",J123*Summary!$C$6)</f>
        <v/>
      </c>
      <c r="L123" s="54" t="n"/>
      <c r="M123" s="54" t="n"/>
      <c r="N123" s="54" t="n"/>
      <c r="O123" s="54" t="n"/>
      <c r="P123" s="54" t="n"/>
      <c r="Q123" s="54" t="n"/>
      <c r="R123" s="54" t="n"/>
      <c r="S123" s="54" t="n"/>
      <c r="T123" s="54" t="n"/>
    </row>
    <row r="124" ht="15" customHeight="1" s="41">
      <c r="A124" s="54" t="n"/>
      <c r="B124" s="54" t="n"/>
      <c r="C124" s="54" t="n"/>
      <c r="D124" s="54" t="n"/>
      <c r="E124" s="54" t="n"/>
      <c r="F124" s="54" t="n"/>
      <c r="G124" s="54" t="n"/>
      <c r="H124" s="54" t="n"/>
      <c r="I124" s="54" t="n"/>
      <c r="J124" s="55">
        <f>IF(OR(G124="",H124=""),"",G124*H124/60)</f>
        <v/>
      </c>
      <c r="K124" s="56">
        <f>IF(J124="","",J124*Summary!$C$6)</f>
        <v/>
      </c>
      <c r="L124" s="54" t="n"/>
      <c r="M124" s="54" t="n"/>
      <c r="N124" s="54" t="n"/>
      <c r="O124" s="54" t="n"/>
      <c r="P124" s="54" t="n"/>
      <c r="Q124" s="54" t="n"/>
      <c r="R124" s="54" t="n"/>
      <c r="S124" s="54" t="n"/>
      <c r="T124" s="54" t="n"/>
    </row>
    <row r="125" ht="15" customHeight="1" s="41">
      <c r="A125" s="54" t="n"/>
      <c r="B125" s="54" t="n"/>
      <c r="C125" s="54" t="n"/>
      <c r="D125" s="54" t="n"/>
      <c r="E125" s="54" t="n"/>
      <c r="F125" s="54" t="n"/>
      <c r="G125" s="54" t="n"/>
      <c r="H125" s="54" t="n"/>
      <c r="I125" s="54" t="n"/>
      <c r="J125" s="55">
        <f>IF(OR(G125="",H125=""),"",G125*H125/60)</f>
        <v/>
      </c>
      <c r="K125" s="56">
        <f>IF(J125="","",J125*Summary!$C$6)</f>
        <v/>
      </c>
      <c r="L125" s="54" t="n"/>
      <c r="M125" s="54" t="n"/>
      <c r="N125" s="54" t="n"/>
      <c r="O125" s="54" t="n"/>
      <c r="P125" s="54" t="n"/>
      <c r="Q125" s="54" t="n"/>
      <c r="R125" s="54" t="n"/>
      <c r="S125" s="54" t="n"/>
      <c r="T125" s="54" t="n"/>
    </row>
    <row r="126" ht="15" customHeight="1" s="41">
      <c r="A126" s="54" t="n"/>
      <c r="B126" s="54" t="n"/>
      <c r="C126" s="54" t="n"/>
      <c r="D126" s="54" t="n"/>
      <c r="E126" s="54" t="n"/>
      <c r="F126" s="54" t="n"/>
      <c r="G126" s="54" t="n"/>
      <c r="H126" s="54" t="n"/>
      <c r="I126" s="54" t="n"/>
      <c r="J126" s="55">
        <f>IF(OR(G126="",H126=""),"",G126*H126/60)</f>
        <v/>
      </c>
      <c r="K126" s="56">
        <f>IF(J126="","",J126*Summary!$C$6)</f>
        <v/>
      </c>
      <c r="L126" s="54" t="n"/>
      <c r="M126" s="54" t="n"/>
      <c r="N126" s="54" t="n"/>
      <c r="O126" s="54" t="n"/>
      <c r="P126" s="54" t="n"/>
      <c r="Q126" s="54" t="n"/>
      <c r="R126" s="54" t="n"/>
      <c r="S126" s="54" t="n"/>
      <c r="T126" s="54" t="n"/>
    </row>
    <row r="127" ht="15" customHeight="1" s="41">
      <c r="A127" s="54" t="n"/>
      <c r="B127" s="54" t="n"/>
      <c r="C127" s="54" t="n"/>
      <c r="D127" s="54" t="n"/>
      <c r="E127" s="54" t="n"/>
      <c r="F127" s="54" t="n"/>
      <c r="G127" s="54" t="n"/>
      <c r="H127" s="54" t="n"/>
      <c r="I127" s="54" t="n"/>
      <c r="J127" s="55">
        <f>IF(OR(G127="",H127=""),"",G127*H127/60)</f>
        <v/>
      </c>
      <c r="K127" s="56">
        <f>IF(J127="","",J127*Summary!$C$6)</f>
        <v/>
      </c>
      <c r="L127" s="54" t="n"/>
      <c r="M127" s="54" t="n"/>
      <c r="N127" s="54" t="n"/>
      <c r="O127" s="54" t="n"/>
      <c r="P127" s="54" t="n"/>
      <c r="Q127" s="54" t="n"/>
      <c r="R127" s="54" t="n"/>
      <c r="S127" s="54" t="n"/>
      <c r="T127" s="54" t="n"/>
    </row>
    <row r="128" ht="15" customHeight="1" s="41">
      <c r="A128" s="54" t="n"/>
      <c r="B128" s="54" t="n"/>
      <c r="C128" s="54" t="n"/>
      <c r="D128" s="54" t="n"/>
      <c r="E128" s="54" t="n"/>
      <c r="F128" s="54" t="n"/>
      <c r="G128" s="54" t="n"/>
      <c r="H128" s="54" t="n"/>
      <c r="I128" s="54" t="n"/>
      <c r="J128" s="55">
        <f>IF(OR(G128="",H128=""),"",G128*H128/60)</f>
        <v/>
      </c>
      <c r="K128" s="56">
        <f>IF(J128="","",J128*Summary!$C$6)</f>
        <v/>
      </c>
      <c r="L128" s="54" t="n"/>
      <c r="M128" s="54" t="n"/>
      <c r="N128" s="54" t="n"/>
      <c r="O128" s="54" t="n"/>
      <c r="P128" s="54" t="n"/>
      <c r="Q128" s="54" t="n"/>
      <c r="R128" s="54" t="n"/>
      <c r="S128" s="54" t="n"/>
      <c r="T128" s="54" t="n"/>
    </row>
    <row r="129" ht="15" customHeight="1" s="41">
      <c r="A129" s="54" t="n"/>
      <c r="B129" s="54" t="n"/>
      <c r="C129" s="54" t="n"/>
      <c r="D129" s="54" t="n"/>
      <c r="E129" s="54" t="n"/>
      <c r="F129" s="54" t="n"/>
      <c r="G129" s="54" t="n"/>
      <c r="H129" s="54" t="n"/>
      <c r="I129" s="54" t="n"/>
      <c r="J129" s="55">
        <f>IF(OR(G129="",H129=""),"",G129*H129/60)</f>
        <v/>
      </c>
      <c r="K129" s="56">
        <f>IF(J129="","",J129*Summary!$C$6)</f>
        <v/>
      </c>
      <c r="L129" s="54" t="n"/>
      <c r="M129" s="54" t="n"/>
      <c r="N129" s="54" t="n"/>
      <c r="O129" s="54" t="n"/>
      <c r="P129" s="54" t="n"/>
      <c r="Q129" s="54" t="n"/>
      <c r="R129" s="54" t="n"/>
      <c r="S129" s="54" t="n"/>
      <c r="T129" s="54" t="n"/>
    </row>
    <row r="130" ht="15" customHeight="1" s="41">
      <c r="A130" s="54" t="n"/>
      <c r="B130" s="54" t="n"/>
      <c r="C130" s="54" t="n"/>
      <c r="D130" s="54" t="n"/>
      <c r="E130" s="54" t="n"/>
      <c r="F130" s="54" t="n"/>
      <c r="G130" s="54" t="n"/>
      <c r="H130" s="54" t="n"/>
      <c r="I130" s="54" t="n"/>
      <c r="J130" s="55">
        <f>IF(OR(G130="",H130=""),"",G130*H130/60)</f>
        <v/>
      </c>
      <c r="K130" s="56">
        <f>IF(J130="","",J130*Summary!$C$6)</f>
        <v/>
      </c>
      <c r="L130" s="54" t="n"/>
      <c r="M130" s="54" t="n"/>
      <c r="N130" s="54" t="n"/>
      <c r="O130" s="54" t="n"/>
      <c r="P130" s="54" t="n"/>
      <c r="Q130" s="54" t="n"/>
      <c r="R130" s="54" t="n"/>
      <c r="S130" s="54" t="n"/>
      <c r="T130" s="54" t="n"/>
    </row>
    <row r="131" ht="15" customHeight="1" s="41">
      <c r="A131" s="54" t="n"/>
      <c r="B131" s="54" t="n"/>
      <c r="C131" s="54" t="n"/>
      <c r="D131" s="54" t="n"/>
      <c r="E131" s="54" t="n"/>
      <c r="F131" s="54" t="n"/>
      <c r="G131" s="54" t="n"/>
      <c r="H131" s="54" t="n"/>
      <c r="I131" s="54" t="n"/>
      <c r="J131" s="55">
        <f>IF(OR(G131="",H131=""),"",G131*H131/60)</f>
        <v/>
      </c>
      <c r="K131" s="56">
        <f>IF(J131="","",J131*Summary!$C$6)</f>
        <v/>
      </c>
      <c r="L131" s="54" t="n"/>
      <c r="M131" s="54" t="n"/>
      <c r="N131" s="54" t="n"/>
      <c r="O131" s="54" t="n"/>
      <c r="P131" s="54" t="n"/>
      <c r="Q131" s="54" t="n"/>
      <c r="R131" s="54" t="n"/>
      <c r="S131" s="54" t="n"/>
      <c r="T131" s="54" t="n"/>
    </row>
    <row r="132" ht="15" customHeight="1" s="41">
      <c r="A132" s="54" t="n"/>
      <c r="B132" s="54" t="n"/>
      <c r="C132" s="54" t="n"/>
      <c r="D132" s="54" t="n"/>
      <c r="E132" s="54" t="n"/>
      <c r="F132" s="54" t="n"/>
      <c r="G132" s="54" t="n"/>
      <c r="H132" s="54" t="n"/>
      <c r="I132" s="54" t="n"/>
      <c r="J132" s="55">
        <f>IF(OR(G132="",H132=""),"",G132*H132/60)</f>
        <v/>
      </c>
      <c r="K132" s="56">
        <f>IF(J132="","",J132*Summary!$C$6)</f>
        <v/>
      </c>
      <c r="L132" s="54" t="n"/>
      <c r="M132" s="54" t="n"/>
      <c r="N132" s="54" t="n"/>
      <c r="O132" s="54" t="n"/>
      <c r="P132" s="54" t="n"/>
      <c r="Q132" s="54" t="n"/>
      <c r="R132" s="54" t="n"/>
      <c r="S132" s="54" t="n"/>
      <c r="T132" s="54" t="n"/>
    </row>
    <row r="133" ht="15" customHeight="1" s="41">
      <c r="A133" s="54" t="n"/>
      <c r="B133" s="54" t="n"/>
      <c r="C133" s="54" t="n"/>
      <c r="D133" s="54" t="n"/>
      <c r="E133" s="54" t="n"/>
      <c r="F133" s="54" t="n"/>
      <c r="G133" s="54" t="n"/>
      <c r="H133" s="54" t="n"/>
      <c r="I133" s="54" t="n"/>
      <c r="J133" s="55">
        <f>IF(OR(G133="",H133=""),"",G133*H133/60)</f>
        <v/>
      </c>
      <c r="K133" s="56">
        <f>IF(J133="","",J133*Summary!$C$6)</f>
        <v/>
      </c>
      <c r="L133" s="54" t="n"/>
      <c r="M133" s="54" t="n"/>
      <c r="N133" s="54" t="n"/>
      <c r="O133" s="54" t="n"/>
      <c r="P133" s="54" t="n"/>
      <c r="Q133" s="54" t="n"/>
      <c r="R133" s="54" t="n"/>
      <c r="S133" s="54" t="n"/>
      <c r="T133" s="54" t="n"/>
    </row>
    <row r="134" ht="15" customHeight="1" s="41">
      <c r="A134" s="54" t="n"/>
      <c r="B134" s="54" t="n"/>
      <c r="C134" s="54" t="n"/>
      <c r="D134" s="54" t="n"/>
      <c r="E134" s="54" t="n"/>
      <c r="F134" s="54" t="n"/>
      <c r="G134" s="54" t="n"/>
      <c r="H134" s="54" t="n"/>
      <c r="I134" s="54" t="n"/>
      <c r="J134" s="55">
        <f>IF(OR(G134="",H134=""),"",G134*H134/60)</f>
        <v/>
      </c>
      <c r="K134" s="56">
        <f>IF(J134="","",J134*Summary!$C$6)</f>
        <v/>
      </c>
      <c r="L134" s="54" t="n"/>
      <c r="M134" s="54" t="n"/>
      <c r="N134" s="54" t="n"/>
      <c r="O134" s="54" t="n"/>
      <c r="P134" s="54" t="n"/>
      <c r="Q134" s="54" t="n"/>
      <c r="R134" s="54" t="n"/>
      <c r="S134" s="54" t="n"/>
      <c r="T134" s="54" t="n"/>
    </row>
    <row r="135" ht="15" customHeight="1" s="41">
      <c r="A135" s="54" t="n"/>
      <c r="B135" s="54" t="n"/>
      <c r="C135" s="54" t="n"/>
      <c r="D135" s="54" t="n"/>
      <c r="E135" s="54" t="n"/>
      <c r="F135" s="54" t="n"/>
      <c r="G135" s="54" t="n"/>
      <c r="H135" s="54" t="n"/>
      <c r="I135" s="54" t="n"/>
      <c r="J135" s="55">
        <f>IF(OR(G135="",H135=""),"",G135*H135/60)</f>
        <v/>
      </c>
      <c r="K135" s="56">
        <f>IF(J135="","",J135*Summary!$C$6)</f>
        <v/>
      </c>
      <c r="L135" s="54" t="n"/>
      <c r="M135" s="54" t="n"/>
      <c r="N135" s="54" t="n"/>
      <c r="O135" s="54" t="n"/>
      <c r="P135" s="54" t="n"/>
      <c r="Q135" s="54" t="n"/>
      <c r="R135" s="54" t="n"/>
      <c r="S135" s="54" t="n"/>
      <c r="T135" s="54" t="n"/>
    </row>
    <row r="136" ht="15" customHeight="1" s="41">
      <c r="A136" s="54" t="n"/>
      <c r="B136" s="54" t="n"/>
      <c r="C136" s="54" t="n"/>
      <c r="D136" s="54" t="n"/>
      <c r="E136" s="54" t="n"/>
      <c r="F136" s="54" t="n"/>
      <c r="G136" s="54" t="n"/>
      <c r="H136" s="54" t="n"/>
      <c r="I136" s="54" t="n"/>
      <c r="J136" s="55">
        <f>IF(OR(G136="",H136=""),"",G136*H136/60)</f>
        <v/>
      </c>
      <c r="K136" s="56">
        <f>IF(J136="","",J136*Summary!$C$6)</f>
        <v/>
      </c>
      <c r="L136" s="54" t="n"/>
      <c r="M136" s="54" t="n"/>
      <c r="N136" s="54" t="n"/>
      <c r="O136" s="54" t="n"/>
      <c r="P136" s="54" t="n"/>
      <c r="Q136" s="54" t="n"/>
      <c r="R136" s="54" t="n"/>
      <c r="S136" s="54" t="n"/>
      <c r="T136" s="54" t="n"/>
    </row>
    <row r="137" ht="15" customHeight="1" s="41">
      <c r="A137" s="54" t="n"/>
      <c r="B137" s="54" t="n"/>
      <c r="C137" s="54" t="n"/>
      <c r="D137" s="54" t="n"/>
      <c r="E137" s="54" t="n"/>
      <c r="F137" s="54" t="n"/>
      <c r="G137" s="54" t="n"/>
      <c r="H137" s="54" t="n"/>
      <c r="I137" s="54" t="n"/>
      <c r="J137" s="55">
        <f>IF(OR(G137="",H137=""),"",G137*H137/60)</f>
        <v/>
      </c>
      <c r="K137" s="56">
        <f>IF(J137="","",J137*Summary!$C$6)</f>
        <v/>
      </c>
      <c r="L137" s="54" t="n"/>
      <c r="M137" s="54" t="n"/>
      <c r="N137" s="54" t="n"/>
      <c r="O137" s="54" t="n"/>
      <c r="P137" s="54" t="n"/>
      <c r="Q137" s="54" t="n"/>
      <c r="R137" s="54" t="n"/>
      <c r="S137" s="54" t="n"/>
      <c r="T137" s="54" t="n"/>
    </row>
    <row r="138" ht="15" customHeight="1" s="41">
      <c r="A138" s="54" t="n"/>
      <c r="B138" s="54" t="n"/>
      <c r="C138" s="54" t="n"/>
      <c r="D138" s="54" t="n"/>
      <c r="E138" s="54" t="n"/>
      <c r="F138" s="54" t="n"/>
      <c r="G138" s="54" t="n"/>
      <c r="H138" s="54" t="n"/>
      <c r="I138" s="54" t="n"/>
      <c r="J138" s="55">
        <f>IF(OR(G138="",H138=""),"",G138*H138/60)</f>
        <v/>
      </c>
      <c r="K138" s="56">
        <f>IF(J138="","",J138*Summary!$C$6)</f>
        <v/>
      </c>
      <c r="L138" s="54" t="n"/>
      <c r="M138" s="54" t="n"/>
      <c r="N138" s="54" t="n"/>
      <c r="O138" s="54" t="n"/>
      <c r="P138" s="54" t="n"/>
      <c r="Q138" s="54" t="n"/>
      <c r="R138" s="54" t="n"/>
      <c r="S138" s="54" t="n"/>
      <c r="T138" s="54" t="n"/>
    </row>
    <row r="139" ht="15" customHeight="1" s="41">
      <c r="A139" s="54" t="n"/>
      <c r="B139" s="54" t="n"/>
      <c r="C139" s="54" t="n"/>
      <c r="D139" s="54" t="n"/>
      <c r="E139" s="54" t="n"/>
      <c r="F139" s="54" t="n"/>
      <c r="G139" s="54" t="n"/>
      <c r="H139" s="54" t="n"/>
      <c r="I139" s="54" t="n"/>
      <c r="J139" s="55">
        <f>IF(OR(G139="",H139=""),"",G139*H139/60)</f>
        <v/>
      </c>
      <c r="K139" s="56">
        <f>IF(J139="","",J139*Summary!$C$6)</f>
        <v/>
      </c>
      <c r="L139" s="54" t="n"/>
      <c r="M139" s="54" t="n"/>
      <c r="N139" s="54" t="n"/>
      <c r="O139" s="54" t="n"/>
      <c r="P139" s="54" t="n"/>
      <c r="Q139" s="54" t="n"/>
      <c r="R139" s="54" t="n"/>
      <c r="S139" s="54" t="n"/>
      <c r="T139" s="54" t="n"/>
    </row>
    <row r="140" ht="15" customHeight="1" s="41">
      <c r="A140" s="54" t="n"/>
      <c r="B140" s="54" t="n"/>
      <c r="C140" s="54" t="n"/>
      <c r="D140" s="54" t="n"/>
      <c r="E140" s="54" t="n"/>
      <c r="F140" s="54" t="n"/>
      <c r="G140" s="54" t="n"/>
      <c r="H140" s="54" t="n"/>
      <c r="I140" s="54" t="n"/>
      <c r="J140" s="55">
        <f>IF(OR(G140="",H140=""),"",G140*H140/60)</f>
        <v/>
      </c>
      <c r="K140" s="56">
        <f>IF(J140="","",J140*Summary!$C$6)</f>
        <v/>
      </c>
      <c r="L140" s="54" t="n"/>
      <c r="M140" s="54" t="n"/>
      <c r="N140" s="54" t="n"/>
      <c r="O140" s="54" t="n"/>
      <c r="P140" s="54" t="n"/>
      <c r="Q140" s="54" t="n"/>
      <c r="R140" s="54" t="n"/>
      <c r="S140" s="54" t="n"/>
      <c r="T140" s="54" t="n"/>
    </row>
    <row r="141" ht="15" customHeight="1" s="41">
      <c r="A141" s="54" t="n"/>
      <c r="B141" s="54" t="n"/>
      <c r="C141" s="54" t="n"/>
      <c r="D141" s="54" t="n"/>
      <c r="E141" s="54" t="n"/>
      <c r="F141" s="54" t="n"/>
      <c r="G141" s="54" t="n"/>
      <c r="H141" s="54" t="n"/>
      <c r="I141" s="54" t="n"/>
      <c r="J141" s="55">
        <f>IF(OR(G141="",H141=""),"",G141*H141/60)</f>
        <v/>
      </c>
      <c r="K141" s="56">
        <f>IF(J141="","",J141*Summary!$C$6)</f>
        <v/>
      </c>
      <c r="L141" s="54" t="n"/>
      <c r="M141" s="54" t="n"/>
      <c r="N141" s="54" t="n"/>
      <c r="O141" s="54" t="n"/>
      <c r="P141" s="54" t="n"/>
      <c r="Q141" s="54" t="n"/>
      <c r="R141" s="54" t="n"/>
      <c r="S141" s="54" t="n"/>
      <c r="T141" s="54" t="n"/>
    </row>
    <row r="142" ht="15" customHeight="1" s="41">
      <c r="A142" s="54" t="n"/>
      <c r="B142" s="54" t="n"/>
      <c r="C142" s="54" t="n"/>
      <c r="D142" s="54" t="n"/>
      <c r="E142" s="54" t="n"/>
      <c r="F142" s="54" t="n"/>
      <c r="G142" s="54" t="n"/>
      <c r="H142" s="54" t="n"/>
      <c r="I142" s="54" t="n"/>
      <c r="J142" s="55">
        <f>IF(OR(G142="",H142=""),"",G142*H142/60)</f>
        <v/>
      </c>
      <c r="K142" s="56">
        <f>IF(J142="","",J142*Summary!$C$6)</f>
        <v/>
      </c>
      <c r="L142" s="54" t="n"/>
      <c r="M142" s="54" t="n"/>
      <c r="N142" s="54" t="n"/>
      <c r="O142" s="54" t="n"/>
      <c r="P142" s="54" t="n"/>
      <c r="Q142" s="54" t="n"/>
      <c r="R142" s="54" t="n"/>
      <c r="S142" s="54" t="n"/>
      <c r="T142" s="54" t="n"/>
    </row>
    <row r="143" ht="15" customHeight="1" s="41">
      <c r="A143" s="54" t="n"/>
      <c r="B143" s="54" t="n"/>
      <c r="C143" s="54" t="n"/>
      <c r="D143" s="54" t="n"/>
      <c r="E143" s="54" t="n"/>
      <c r="F143" s="54" t="n"/>
      <c r="G143" s="54" t="n"/>
      <c r="H143" s="54" t="n"/>
      <c r="I143" s="54" t="n"/>
      <c r="J143" s="55">
        <f>IF(OR(G143="",H143=""),"",G143*H143/60)</f>
        <v/>
      </c>
      <c r="K143" s="56">
        <f>IF(J143="","",J143*Summary!$C$6)</f>
        <v/>
      </c>
      <c r="L143" s="54" t="n"/>
      <c r="M143" s="54" t="n"/>
      <c r="N143" s="54" t="n"/>
      <c r="O143" s="54" t="n"/>
      <c r="P143" s="54" t="n"/>
      <c r="Q143" s="54" t="n"/>
      <c r="R143" s="54" t="n"/>
      <c r="S143" s="54" t="n"/>
      <c r="T143" s="54" t="n"/>
    </row>
    <row r="144" ht="15" customHeight="1" s="41">
      <c r="A144" s="54" t="n"/>
      <c r="B144" s="54" t="n"/>
      <c r="C144" s="54" t="n"/>
      <c r="D144" s="54" t="n"/>
      <c r="E144" s="54" t="n"/>
      <c r="F144" s="54" t="n"/>
      <c r="G144" s="54" t="n"/>
      <c r="H144" s="54" t="n"/>
      <c r="I144" s="54" t="n"/>
      <c r="J144" s="55">
        <f>IF(OR(G144="",H144=""),"",G144*H144/60)</f>
        <v/>
      </c>
      <c r="K144" s="56">
        <f>IF(J144="","",J144*Summary!$C$6)</f>
        <v/>
      </c>
      <c r="L144" s="54" t="n"/>
      <c r="M144" s="54" t="n"/>
      <c r="N144" s="54" t="n"/>
      <c r="O144" s="54" t="n"/>
      <c r="P144" s="54" t="n"/>
      <c r="Q144" s="54" t="n"/>
      <c r="R144" s="54" t="n"/>
      <c r="S144" s="54" t="n"/>
      <c r="T144" s="54" t="n"/>
    </row>
    <row r="145" ht="15" customHeight="1" s="41">
      <c r="A145" s="54" t="n"/>
      <c r="B145" s="54" t="n"/>
      <c r="C145" s="54" t="n"/>
      <c r="D145" s="54" t="n"/>
      <c r="E145" s="54" t="n"/>
      <c r="F145" s="54" t="n"/>
      <c r="G145" s="54" t="n"/>
      <c r="H145" s="54" t="n"/>
      <c r="I145" s="54" t="n"/>
      <c r="J145" s="55">
        <f>IF(OR(G145="",H145=""),"",G145*H145/60)</f>
        <v/>
      </c>
      <c r="K145" s="56">
        <f>IF(J145="","",J145*Summary!$C$6)</f>
        <v/>
      </c>
      <c r="L145" s="54" t="n"/>
      <c r="M145" s="54" t="n"/>
      <c r="N145" s="54" t="n"/>
      <c r="O145" s="54" t="n"/>
      <c r="P145" s="54" t="n"/>
      <c r="Q145" s="54" t="n"/>
      <c r="R145" s="54" t="n"/>
      <c r="S145" s="54" t="n"/>
      <c r="T145" s="54" t="n"/>
    </row>
    <row r="146" ht="15" customHeight="1" s="41">
      <c r="A146" s="54" t="n"/>
      <c r="B146" s="54" t="n"/>
      <c r="C146" s="54" t="n"/>
      <c r="D146" s="54" t="n"/>
      <c r="E146" s="54" t="n"/>
      <c r="F146" s="54" t="n"/>
      <c r="G146" s="54" t="n"/>
      <c r="H146" s="54" t="n"/>
      <c r="I146" s="54" t="n"/>
      <c r="J146" s="55">
        <f>IF(OR(G146="",H146=""),"",G146*H146/60)</f>
        <v/>
      </c>
      <c r="K146" s="56">
        <f>IF(J146="","",J146*Summary!$C$6)</f>
        <v/>
      </c>
      <c r="L146" s="54" t="n"/>
      <c r="M146" s="54" t="n"/>
      <c r="N146" s="54" t="n"/>
      <c r="O146" s="54" t="n"/>
      <c r="P146" s="54" t="n"/>
      <c r="Q146" s="54" t="n"/>
      <c r="R146" s="54" t="n"/>
      <c r="S146" s="54" t="n"/>
      <c r="T146" s="54" t="n"/>
    </row>
    <row r="147" ht="15" customHeight="1" s="41">
      <c r="A147" s="54" t="n"/>
      <c r="B147" s="54" t="n"/>
      <c r="C147" s="54" t="n"/>
      <c r="D147" s="54" t="n"/>
      <c r="E147" s="54" t="n"/>
      <c r="F147" s="54" t="n"/>
      <c r="G147" s="54" t="n"/>
      <c r="H147" s="54" t="n"/>
      <c r="I147" s="54" t="n"/>
      <c r="J147" s="55">
        <f>IF(OR(G147="",H147=""),"",G147*H147/60)</f>
        <v/>
      </c>
      <c r="K147" s="56">
        <f>IF(J147="","",J147*Summary!$C$6)</f>
        <v/>
      </c>
      <c r="L147" s="54" t="n"/>
      <c r="M147" s="54" t="n"/>
      <c r="N147" s="54" t="n"/>
      <c r="O147" s="54" t="n"/>
      <c r="P147" s="54" t="n"/>
      <c r="Q147" s="54" t="n"/>
      <c r="R147" s="54" t="n"/>
      <c r="S147" s="54" t="n"/>
      <c r="T147" s="54" t="n"/>
    </row>
    <row r="148" ht="15" customHeight="1" s="41">
      <c r="A148" s="54" t="n"/>
      <c r="B148" s="54" t="n"/>
      <c r="C148" s="54" t="n"/>
      <c r="D148" s="54" t="n"/>
      <c r="E148" s="54" t="n"/>
      <c r="F148" s="54" t="n"/>
      <c r="G148" s="54" t="n"/>
      <c r="H148" s="54" t="n"/>
      <c r="I148" s="54" t="n"/>
      <c r="J148" s="55">
        <f>IF(OR(G148="",H148=""),"",G148*H148/60)</f>
        <v/>
      </c>
      <c r="K148" s="56">
        <f>IF(J148="","",J148*Summary!$C$6)</f>
        <v/>
      </c>
      <c r="L148" s="54" t="n"/>
      <c r="M148" s="54" t="n"/>
      <c r="N148" s="54" t="n"/>
      <c r="O148" s="54" t="n"/>
      <c r="P148" s="54" t="n"/>
      <c r="Q148" s="54" t="n"/>
      <c r="R148" s="54" t="n"/>
      <c r="S148" s="54" t="n"/>
      <c r="T148" s="54" t="n"/>
    </row>
    <row r="149" ht="15" customHeight="1" s="41">
      <c r="A149" s="54" t="n"/>
      <c r="B149" s="54" t="n"/>
      <c r="C149" s="54" t="n"/>
      <c r="D149" s="54" t="n"/>
      <c r="E149" s="54" t="n"/>
      <c r="F149" s="54" t="n"/>
      <c r="G149" s="54" t="n"/>
      <c r="H149" s="54" t="n"/>
      <c r="I149" s="54" t="n"/>
      <c r="J149" s="55">
        <f>IF(OR(G149="",H149=""),"",G149*H149/60)</f>
        <v/>
      </c>
      <c r="K149" s="56">
        <f>IF(J149="","",J149*Summary!$C$6)</f>
        <v/>
      </c>
      <c r="L149" s="54" t="n"/>
      <c r="M149" s="54" t="n"/>
      <c r="N149" s="54" t="n"/>
      <c r="O149" s="54" t="n"/>
      <c r="P149" s="54" t="n"/>
      <c r="Q149" s="54" t="n"/>
      <c r="R149" s="54" t="n"/>
      <c r="S149" s="54" t="n"/>
      <c r="T149" s="54" t="n"/>
    </row>
    <row r="150" ht="15" customHeight="1" s="41">
      <c r="A150" s="54" t="n"/>
      <c r="B150" s="54" t="n"/>
      <c r="C150" s="54" t="n"/>
      <c r="D150" s="54" t="n"/>
      <c r="E150" s="54" t="n"/>
      <c r="F150" s="54" t="n"/>
      <c r="G150" s="54" t="n"/>
      <c r="H150" s="54" t="n"/>
      <c r="I150" s="54" t="n"/>
      <c r="J150" s="55">
        <f>IF(OR(G150="",H150=""),"",G150*H150/60)</f>
        <v/>
      </c>
      <c r="K150" s="56">
        <f>IF(J150="","",J150*Summary!$C$6)</f>
        <v/>
      </c>
      <c r="L150" s="54" t="n"/>
      <c r="M150" s="54" t="n"/>
      <c r="N150" s="54" t="n"/>
      <c r="O150" s="54" t="n"/>
      <c r="P150" s="54" t="n"/>
      <c r="Q150" s="54" t="n"/>
      <c r="R150" s="54" t="n"/>
      <c r="S150" s="54" t="n"/>
      <c r="T150" s="54" t="n"/>
    </row>
    <row r="151" ht="15" customHeight="1" s="41">
      <c r="A151" s="54" t="n"/>
      <c r="B151" s="54" t="n"/>
      <c r="C151" s="54" t="n"/>
      <c r="D151" s="54" t="n"/>
      <c r="E151" s="54" t="n"/>
      <c r="F151" s="54" t="n"/>
      <c r="G151" s="54" t="n"/>
      <c r="H151" s="54" t="n"/>
      <c r="I151" s="54" t="n"/>
      <c r="J151" s="55">
        <f>IF(OR(G151="",H151=""),"",G151*H151/60)</f>
        <v/>
      </c>
      <c r="K151" s="56">
        <f>IF(J151="","",J151*Summary!$C$6)</f>
        <v/>
      </c>
      <c r="L151" s="54" t="n"/>
      <c r="M151" s="54" t="n"/>
      <c r="N151" s="54" t="n"/>
      <c r="O151" s="54" t="n"/>
      <c r="P151" s="54" t="n"/>
      <c r="Q151" s="54" t="n"/>
      <c r="R151" s="54" t="n"/>
      <c r="S151" s="54" t="n"/>
      <c r="T151" s="54" t="n"/>
    </row>
    <row r="152" ht="15" customHeight="1" s="41">
      <c r="A152" s="54" t="n"/>
      <c r="B152" s="54" t="n"/>
      <c r="C152" s="54" t="n"/>
      <c r="D152" s="54" t="n"/>
      <c r="E152" s="54" t="n"/>
      <c r="F152" s="54" t="n"/>
      <c r="G152" s="54" t="n"/>
      <c r="H152" s="54" t="n"/>
      <c r="I152" s="54" t="n"/>
      <c r="J152" s="55">
        <f>IF(OR(G152="",H152=""),"",G152*H152/60)</f>
        <v/>
      </c>
      <c r="K152" s="56">
        <f>IF(J152="","",J152*Summary!$C$6)</f>
        <v/>
      </c>
      <c r="L152" s="54" t="n"/>
      <c r="M152" s="54" t="n"/>
      <c r="N152" s="54" t="n"/>
      <c r="O152" s="54" t="n"/>
      <c r="P152" s="54" t="n"/>
      <c r="Q152" s="54" t="n"/>
      <c r="R152" s="54" t="n"/>
      <c r="S152" s="54" t="n"/>
      <c r="T152" s="54" t="n"/>
    </row>
    <row r="153" ht="15" customHeight="1" s="41">
      <c r="A153" s="54" t="n"/>
      <c r="B153" s="54" t="n"/>
      <c r="C153" s="54" t="n"/>
      <c r="D153" s="54" t="n"/>
      <c r="E153" s="54" t="n"/>
      <c r="F153" s="54" t="n"/>
      <c r="G153" s="54" t="n"/>
      <c r="H153" s="54" t="n"/>
      <c r="I153" s="54" t="n"/>
      <c r="J153" s="55">
        <f>IF(OR(G153="",H153=""),"",G153*H153/60)</f>
        <v/>
      </c>
      <c r="K153" s="56">
        <f>IF(J153="","",J153*Summary!$C$6)</f>
        <v/>
      </c>
      <c r="L153" s="54" t="n"/>
      <c r="M153" s="54" t="n"/>
      <c r="N153" s="54" t="n"/>
      <c r="O153" s="54" t="n"/>
      <c r="P153" s="54" t="n"/>
      <c r="Q153" s="54" t="n"/>
      <c r="R153" s="54" t="n"/>
      <c r="S153" s="54" t="n"/>
      <c r="T153" s="54" t="n"/>
    </row>
    <row r="154" ht="15" customHeight="1" s="41">
      <c r="A154" s="54" t="n"/>
      <c r="B154" s="54" t="n"/>
      <c r="C154" s="54" t="n"/>
      <c r="D154" s="54" t="n"/>
      <c r="E154" s="54" t="n"/>
      <c r="F154" s="54" t="n"/>
      <c r="G154" s="54" t="n"/>
      <c r="H154" s="54" t="n"/>
      <c r="I154" s="54" t="n"/>
      <c r="J154" s="55">
        <f>IF(OR(G154="",H154=""),"",G154*H154/60)</f>
        <v/>
      </c>
      <c r="K154" s="56">
        <f>IF(J154="","",J154*Summary!$C$6)</f>
        <v/>
      </c>
      <c r="L154" s="54" t="n"/>
      <c r="M154" s="54" t="n"/>
      <c r="N154" s="54" t="n"/>
      <c r="O154" s="54" t="n"/>
      <c r="P154" s="54" t="n"/>
      <c r="Q154" s="54" t="n"/>
      <c r="R154" s="54" t="n"/>
      <c r="S154" s="54" t="n"/>
      <c r="T154" s="54" t="n"/>
    </row>
    <row r="155" ht="15" customHeight="1" s="41">
      <c r="A155" s="54" t="n"/>
      <c r="B155" s="54" t="n"/>
      <c r="C155" s="54" t="n"/>
      <c r="D155" s="54" t="n"/>
      <c r="E155" s="54" t="n"/>
      <c r="F155" s="54" t="n"/>
      <c r="G155" s="54" t="n"/>
      <c r="H155" s="54" t="n"/>
      <c r="I155" s="54" t="n"/>
      <c r="J155" s="55">
        <f>IF(OR(G155="",H155=""),"",G155*H155/60)</f>
        <v/>
      </c>
      <c r="K155" s="56">
        <f>IF(J155="","",J155*Summary!$C$6)</f>
        <v/>
      </c>
      <c r="L155" s="54" t="n"/>
      <c r="M155" s="54" t="n"/>
      <c r="N155" s="54" t="n"/>
      <c r="O155" s="54" t="n"/>
      <c r="P155" s="54" t="n"/>
      <c r="Q155" s="54" t="n"/>
      <c r="R155" s="54" t="n"/>
      <c r="S155" s="54" t="n"/>
      <c r="T155" s="54" t="n"/>
    </row>
    <row r="156" ht="15" customHeight="1" s="41">
      <c r="A156" s="54" t="n"/>
      <c r="B156" s="54" t="n"/>
      <c r="C156" s="54" t="n"/>
      <c r="D156" s="54" t="n"/>
      <c r="E156" s="54" t="n"/>
      <c r="F156" s="54" t="n"/>
      <c r="G156" s="54" t="n"/>
      <c r="H156" s="54" t="n"/>
      <c r="I156" s="54" t="n"/>
      <c r="J156" s="55">
        <f>IF(OR(G156="",H156=""),"",G156*H156/60)</f>
        <v/>
      </c>
      <c r="K156" s="56">
        <f>IF(J156="","",J156*Summary!$C$6)</f>
        <v/>
      </c>
      <c r="L156" s="54" t="n"/>
      <c r="M156" s="54" t="n"/>
      <c r="N156" s="54" t="n"/>
      <c r="O156" s="54" t="n"/>
      <c r="P156" s="54" t="n"/>
      <c r="Q156" s="54" t="n"/>
      <c r="R156" s="54" t="n"/>
      <c r="S156" s="54" t="n"/>
      <c r="T156" s="54" t="n"/>
    </row>
    <row r="157" ht="15" customHeight="1" s="41">
      <c r="A157" s="54" t="n"/>
      <c r="B157" s="54" t="n"/>
      <c r="C157" s="54" t="n"/>
      <c r="D157" s="54" t="n"/>
      <c r="E157" s="54" t="n"/>
      <c r="F157" s="54" t="n"/>
      <c r="G157" s="54" t="n"/>
      <c r="H157" s="54" t="n"/>
      <c r="I157" s="54" t="n"/>
      <c r="J157" s="55">
        <f>IF(OR(G157="",H157=""),"",G157*H157/60)</f>
        <v/>
      </c>
      <c r="K157" s="56">
        <f>IF(J157="","",J157*Summary!$C$6)</f>
        <v/>
      </c>
      <c r="L157" s="54" t="n"/>
      <c r="M157" s="54" t="n"/>
      <c r="N157" s="54" t="n"/>
      <c r="O157" s="54" t="n"/>
      <c r="P157" s="54" t="n"/>
      <c r="Q157" s="54" t="n"/>
      <c r="R157" s="54" t="n"/>
      <c r="S157" s="54" t="n"/>
      <c r="T157" s="54" t="n"/>
    </row>
    <row r="158" ht="15" customHeight="1" s="41">
      <c r="A158" s="54" t="n"/>
      <c r="B158" s="54" t="n"/>
      <c r="C158" s="54" t="n"/>
      <c r="D158" s="54" t="n"/>
      <c r="E158" s="54" t="n"/>
      <c r="F158" s="54" t="n"/>
      <c r="G158" s="54" t="n"/>
      <c r="H158" s="54" t="n"/>
      <c r="I158" s="54" t="n"/>
      <c r="J158" s="55">
        <f>IF(OR(G158="",H158=""),"",G158*H158/60)</f>
        <v/>
      </c>
      <c r="K158" s="56">
        <f>IF(J158="","",J158*Summary!$C$6)</f>
        <v/>
      </c>
      <c r="L158" s="54" t="n"/>
      <c r="M158" s="54" t="n"/>
      <c r="N158" s="54" t="n"/>
      <c r="O158" s="54" t="n"/>
      <c r="P158" s="54" t="n"/>
      <c r="Q158" s="54" t="n"/>
      <c r="R158" s="54" t="n"/>
      <c r="S158" s="54" t="n"/>
      <c r="T158" s="54" t="n"/>
    </row>
    <row r="159" ht="15" customHeight="1" s="41">
      <c r="A159" s="54" t="n"/>
      <c r="B159" s="54" t="n"/>
      <c r="C159" s="54" t="n"/>
      <c r="D159" s="54" t="n"/>
      <c r="E159" s="54" t="n"/>
      <c r="F159" s="54" t="n"/>
      <c r="G159" s="54" t="n"/>
      <c r="H159" s="54" t="n"/>
      <c r="I159" s="54" t="n"/>
      <c r="J159" s="55">
        <f>IF(OR(G159="",H159=""),"",G159*H159/60)</f>
        <v/>
      </c>
      <c r="K159" s="56">
        <f>IF(J159="","",J159*Summary!$C$6)</f>
        <v/>
      </c>
      <c r="L159" s="54" t="n"/>
      <c r="M159" s="54" t="n"/>
      <c r="N159" s="54" t="n"/>
      <c r="O159" s="54" t="n"/>
      <c r="P159" s="54" t="n"/>
      <c r="Q159" s="54" t="n"/>
      <c r="R159" s="54" t="n"/>
      <c r="S159" s="54" t="n"/>
      <c r="T159" s="54" t="n"/>
    </row>
    <row r="160" ht="15" customHeight="1" s="41">
      <c r="A160" s="54" t="n"/>
      <c r="B160" s="54" t="n"/>
      <c r="C160" s="54" t="n"/>
      <c r="D160" s="54" t="n"/>
      <c r="E160" s="54" t="n"/>
      <c r="F160" s="54" t="n"/>
      <c r="G160" s="54" t="n"/>
      <c r="H160" s="54" t="n"/>
      <c r="I160" s="54" t="n"/>
      <c r="J160" s="55">
        <f>IF(OR(G160="",H160=""),"",G160*H160/60)</f>
        <v/>
      </c>
      <c r="K160" s="56">
        <f>IF(J160="","",J160*Summary!$C$6)</f>
        <v/>
      </c>
      <c r="L160" s="54" t="n"/>
      <c r="M160" s="54" t="n"/>
      <c r="N160" s="54" t="n"/>
      <c r="O160" s="54" t="n"/>
      <c r="P160" s="54" t="n"/>
      <c r="Q160" s="54" t="n"/>
      <c r="R160" s="54" t="n"/>
      <c r="S160" s="54" t="n"/>
      <c r="T160" s="54" t="n"/>
    </row>
    <row r="161" ht="15" customHeight="1" s="41">
      <c r="A161" s="54" t="n"/>
      <c r="B161" s="54" t="n"/>
      <c r="C161" s="54" t="n"/>
      <c r="D161" s="54" t="n"/>
      <c r="E161" s="54" t="n"/>
      <c r="F161" s="54" t="n"/>
      <c r="G161" s="54" t="n"/>
      <c r="H161" s="54" t="n"/>
      <c r="I161" s="54" t="n"/>
      <c r="J161" s="55">
        <f>IF(OR(G161="",H161=""),"",G161*H161/60)</f>
        <v/>
      </c>
      <c r="K161" s="56">
        <f>IF(J161="","",J161*Summary!$C$6)</f>
        <v/>
      </c>
      <c r="L161" s="54" t="n"/>
      <c r="M161" s="54" t="n"/>
      <c r="N161" s="54" t="n"/>
      <c r="O161" s="54" t="n"/>
      <c r="P161" s="54" t="n"/>
      <c r="Q161" s="54" t="n"/>
      <c r="R161" s="54" t="n"/>
      <c r="S161" s="54" t="n"/>
      <c r="T161" s="54" t="n"/>
    </row>
    <row r="162" ht="15" customHeight="1" s="41">
      <c r="A162" s="54" t="n"/>
      <c r="B162" s="54" t="n"/>
      <c r="C162" s="54" t="n"/>
      <c r="D162" s="54" t="n"/>
      <c r="E162" s="54" t="n"/>
      <c r="F162" s="54" t="n"/>
      <c r="G162" s="54" t="n"/>
      <c r="H162" s="54" t="n"/>
      <c r="I162" s="54" t="n"/>
      <c r="J162" s="55">
        <f>IF(OR(G162="",H162=""),"",G162*H162/60)</f>
        <v/>
      </c>
      <c r="K162" s="56">
        <f>IF(J162="","",J162*Summary!$C$6)</f>
        <v/>
      </c>
      <c r="L162" s="54" t="n"/>
      <c r="M162" s="54" t="n"/>
      <c r="N162" s="54" t="n"/>
      <c r="O162" s="54" t="n"/>
      <c r="P162" s="54" t="n"/>
      <c r="Q162" s="54" t="n"/>
      <c r="R162" s="54" t="n"/>
      <c r="S162" s="54" t="n"/>
      <c r="T162" s="54" t="n"/>
    </row>
    <row r="163" ht="15" customHeight="1" s="41">
      <c r="A163" s="54" t="n"/>
      <c r="B163" s="54" t="n"/>
      <c r="C163" s="54" t="n"/>
      <c r="D163" s="54" t="n"/>
      <c r="E163" s="54" t="n"/>
      <c r="F163" s="54" t="n"/>
      <c r="G163" s="54" t="n"/>
      <c r="H163" s="54" t="n"/>
      <c r="I163" s="54" t="n"/>
      <c r="J163" s="55">
        <f>IF(OR(G163="",H163=""),"",G163*H163/60)</f>
        <v/>
      </c>
      <c r="K163" s="56">
        <f>IF(J163="","",J163*Summary!$C$6)</f>
        <v/>
      </c>
      <c r="L163" s="54" t="n"/>
      <c r="M163" s="54" t="n"/>
      <c r="N163" s="54" t="n"/>
      <c r="O163" s="54" t="n"/>
      <c r="P163" s="54" t="n"/>
      <c r="Q163" s="54" t="n"/>
      <c r="R163" s="54" t="n"/>
      <c r="S163" s="54" t="n"/>
      <c r="T163" s="54" t="n"/>
    </row>
    <row r="164" ht="15" customHeight="1" s="41">
      <c r="A164" s="54" t="n"/>
      <c r="B164" s="54" t="n"/>
      <c r="C164" s="54" t="n"/>
      <c r="D164" s="54" t="n"/>
      <c r="E164" s="54" t="n"/>
      <c r="F164" s="54" t="n"/>
      <c r="G164" s="54" t="n"/>
      <c r="H164" s="54" t="n"/>
      <c r="I164" s="54" t="n"/>
      <c r="J164" s="55">
        <f>IF(OR(G164="",H164=""),"",G164*H164/60)</f>
        <v/>
      </c>
      <c r="K164" s="56">
        <f>IF(J164="","",J164*Summary!$C$6)</f>
        <v/>
      </c>
      <c r="L164" s="54" t="n"/>
      <c r="M164" s="54" t="n"/>
      <c r="N164" s="54" t="n"/>
      <c r="O164" s="54" t="n"/>
      <c r="P164" s="54" t="n"/>
      <c r="Q164" s="54" t="n"/>
      <c r="R164" s="54" t="n"/>
      <c r="S164" s="54" t="n"/>
      <c r="T164" s="54" t="n"/>
    </row>
    <row r="165" ht="15" customHeight="1" s="41">
      <c r="A165" s="54" t="n"/>
      <c r="B165" s="54" t="n"/>
      <c r="C165" s="54" t="n"/>
      <c r="D165" s="54" t="n"/>
      <c r="E165" s="54" t="n"/>
      <c r="F165" s="54" t="n"/>
      <c r="G165" s="54" t="n"/>
      <c r="H165" s="54" t="n"/>
      <c r="I165" s="54" t="n"/>
      <c r="J165" s="55">
        <f>IF(OR(G165="",H165=""),"",G165*H165/60)</f>
        <v/>
      </c>
      <c r="K165" s="56">
        <f>IF(J165="","",J165*Summary!$C$6)</f>
        <v/>
      </c>
      <c r="L165" s="54" t="n"/>
      <c r="M165" s="54" t="n"/>
      <c r="N165" s="54" t="n"/>
      <c r="O165" s="54" t="n"/>
      <c r="P165" s="54" t="n"/>
      <c r="Q165" s="54" t="n"/>
      <c r="R165" s="54" t="n"/>
      <c r="S165" s="54" t="n"/>
      <c r="T165" s="54" t="n"/>
    </row>
    <row r="166" ht="15" customHeight="1" s="41">
      <c r="A166" s="54" t="n"/>
      <c r="B166" s="54" t="n"/>
      <c r="C166" s="54" t="n"/>
      <c r="D166" s="54" t="n"/>
      <c r="E166" s="54" t="n"/>
      <c r="F166" s="54" t="n"/>
      <c r="G166" s="54" t="n"/>
      <c r="H166" s="54" t="n"/>
      <c r="I166" s="54" t="n"/>
      <c r="J166" s="55">
        <f>IF(OR(G166="",H166=""),"",G166*H166/60)</f>
        <v/>
      </c>
      <c r="K166" s="56">
        <f>IF(J166="","",J166*Summary!$C$6)</f>
        <v/>
      </c>
      <c r="L166" s="54" t="n"/>
      <c r="M166" s="54" t="n"/>
      <c r="N166" s="54" t="n"/>
      <c r="O166" s="54" t="n"/>
      <c r="P166" s="54" t="n"/>
      <c r="Q166" s="54" t="n"/>
      <c r="R166" s="54" t="n"/>
      <c r="S166" s="54" t="n"/>
      <c r="T166" s="54" t="n"/>
    </row>
    <row r="167" ht="15" customHeight="1" s="41">
      <c r="A167" s="54" t="n"/>
      <c r="B167" s="54" t="n"/>
      <c r="C167" s="54" t="n"/>
      <c r="D167" s="54" t="n"/>
      <c r="E167" s="54" t="n"/>
      <c r="F167" s="54" t="n"/>
      <c r="G167" s="54" t="n"/>
      <c r="H167" s="54" t="n"/>
      <c r="I167" s="54" t="n"/>
      <c r="J167" s="55">
        <f>IF(OR(G167="",H167=""),"",G167*H167/60)</f>
        <v/>
      </c>
      <c r="K167" s="56">
        <f>IF(J167="","",J167*Summary!$C$6)</f>
        <v/>
      </c>
      <c r="L167" s="54" t="n"/>
      <c r="M167" s="54" t="n"/>
      <c r="N167" s="54" t="n"/>
      <c r="O167" s="54" t="n"/>
      <c r="P167" s="54" t="n"/>
      <c r="Q167" s="54" t="n"/>
      <c r="R167" s="54" t="n"/>
      <c r="S167" s="54" t="n"/>
      <c r="T167" s="54" t="n"/>
    </row>
    <row r="168" ht="15" customHeight="1" s="41">
      <c r="A168" s="54" t="n"/>
      <c r="B168" s="54" t="n"/>
      <c r="C168" s="54" t="n"/>
      <c r="D168" s="54" t="n"/>
      <c r="E168" s="54" t="n"/>
      <c r="F168" s="54" t="n"/>
      <c r="G168" s="54" t="n"/>
      <c r="H168" s="54" t="n"/>
      <c r="I168" s="54" t="n"/>
      <c r="J168" s="55">
        <f>IF(OR(G168="",H168=""),"",G168*H168/60)</f>
        <v/>
      </c>
      <c r="K168" s="56">
        <f>IF(J168="","",J168*Summary!$C$6)</f>
        <v/>
      </c>
      <c r="L168" s="54" t="n"/>
      <c r="M168" s="54" t="n"/>
      <c r="N168" s="54" t="n"/>
      <c r="O168" s="54" t="n"/>
      <c r="P168" s="54" t="n"/>
      <c r="Q168" s="54" t="n"/>
      <c r="R168" s="54" t="n"/>
      <c r="S168" s="54" t="n"/>
      <c r="T168" s="54" t="n"/>
    </row>
    <row r="169" ht="15" customHeight="1" s="41">
      <c r="A169" s="54" t="n"/>
      <c r="B169" s="54" t="n"/>
      <c r="C169" s="54" t="n"/>
      <c r="D169" s="54" t="n"/>
      <c r="E169" s="54" t="n"/>
      <c r="F169" s="54" t="n"/>
      <c r="G169" s="54" t="n"/>
      <c r="H169" s="54" t="n"/>
      <c r="I169" s="54" t="n"/>
      <c r="J169" s="55">
        <f>IF(OR(G169="",H169=""),"",G169*H169/60)</f>
        <v/>
      </c>
      <c r="K169" s="56">
        <f>IF(J169="","",J169*Summary!$C$6)</f>
        <v/>
      </c>
      <c r="L169" s="54" t="n"/>
      <c r="M169" s="54" t="n"/>
      <c r="N169" s="54" t="n"/>
      <c r="O169" s="54" t="n"/>
      <c r="P169" s="54" t="n"/>
      <c r="Q169" s="54" t="n"/>
      <c r="R169" s="54" t="n"/>
      <c r="S169" s="54" t="n"/>
      <c r="T169" s="54" t="n"/>
    </row>
    <row r="170" ht="15" customHeight="1" s="41">
      <c r="A170" s="54" t="n"/>
      <c r="B170" s="54" t="n"/>
      <c r="C170" s="54" t="n"/>
      <c r="D170" s="54" t="n"/>
      <c r="E170" s="54" t="n"/>
      <c r="F170" s="54" t="n"/>
      <c r="G170" s="54" t="n"/>
      <c r="H170" s="54" t="n"/>
      <c r="I170" s="54" t="n"/>
      <c r="J170" s="55">
        <f>IF(OR(G170="",H170=""),"",G170*H170/60)</f>
        <v/>
      </c>
      <c r="K170" s="56">
        <f>IF(J170="","",J170*Summary!$C$6)</f>
        <v/>
      </c>
      <c r="L170" s="54" t="n"/>
      <c r="M170" s="54" t="n"/>
      <c r="N170" s="54" t="n"/>
      <c r="O170" s="54" t="n"/>
      <c r="P170" s="54" t="n"/>
      <c r="Q170" s="54" t="n"/>
      <c r="R170" s="54" t="n"/>
      <c r="S170" s="54" t="n"/>
      <c r="T170" s="54" t="n"/>
    </row>
    <row r="171" ht="15" customHeight="1" s="41">
      <c r="A171" s="54" t="n"/>
      <c r="B171" s="54" t="n"/>
      <c r="C171" s="54" t="n"/>
      <c r="D171" s="54" t="n"/>
      <c r="E171" s="54" t="n"/>
      <c r="F171" s="54" t="n"/>
      <c r="G171" s="54" t="n"/>
      <c r="H171" s="54" t="n"/>
      <c r="I171" s="54" t="n"/>
      <c r="J171" s="55">
        <f>IF(OR(G171="",H171=""),"",G171*H171/60)</f>
        <v/>
      </c>
      <c r="K171" s="56">
        <f>IF(J171="","",J171*Summary!$C$6)</f>
        <v/>
      </c>
      <c r="L171" s="54" t="n"/>
      <c r="M171" s="54" t="n"/>
      <c r="N171" s="54" t="n"/>
      <c r="O171" s="54" t="n"/>
      <c r="P171" s="54" t="n"/>
      <c r="Q171" s="54" t="n"/>
      <c r="R171" s="54" t="n"/>
      <c r="S171" s="54" t="n"/>
      <c r="T171" s="54" t="n"/>
    </row>
    <row r="172" ht="15" customHeight="1" s="41">
      <c r="A172" s="54" t="n"/>
      <c r="B172" s="54" t="n"/>
      <c r="C172" s="54" t="n"/>
      <c r="D172" s="54" t="n"/>
      <c r="E172" s="54" t="n"/>
      <c r="F172" s="54" t="n"/>
      <c r="G172" s="54" t="n"/>
      <c r="H172" s="54" t="n"/>
      <c r="I172" s="54" t="n"/>
      <c r="J172" s="55">
        <f>IF(OR(G172="",H172=""),"",G172*H172/60)</f>
        <v/>
      </c>
      <c r="K172" s="56">
        <f>IF(J172="","",J172*Summary!$C$6)</f>
        <v/>
      </c>
      <c r="L172" s="54" t="n"/>
      <c r="M172" s="54" t="n"/>
      <c r="N172" s="54" t="n"/>
      <c r="O172" s="54" t="n"/>
      <c r="P172" s="54" t="n"/>
      <c r="Q172" s="54" t="n"/>
      <c r="R172" s="54" t="n"/>
      <c r="S172" s="54" t="n"/>
      <c r="T172" s="54" t="n"/>
    </row>
    <row r="173" ht="15" customHeight="1" s="41">
      <c r="A173" s="54" t="n"/>
      <c r="B173" s="54" t="n"/>
      <c r="C173" s="54" t="n"/>
      <c r="D173" s="54" t="n"/>
      <c r="E173" s="54" t="n"/>
      <c r="F173" s="54" t="n"/>
      <c r="G173" s="54" t="n"/>
      <c r="H173" s="54" t="n"/>
      <c r="I173" s="54" t="n"/>
      <c r="J173" s="55">
        <f>IF(OR(G173="",H173=""),"",G173*H173/60)</f>
        <v/>
      </c>
      <c r="K173" s="56">
        <f>IF(J173="","",J173*Summary!$C$6)</f>
        <v/>
      </c>
      <c r="L173" s="54" t="n"/>
      <c r="M173" s="54" t="n"/>
      <c r="N173" s="54" t="n"/>
      <c r="O173" s="54" t="n"/>
      <c r="P173" s="54" t="n"/>
      <c r="Q173" s="54" t="n"/>
      <c r="R173" s="54" t="n"/>
      <c r="S173" s="54" t="n"/>
      <c r="T173" s="54" t="n"/>
    </row>
    <row r="174" ht="15" customHeight="1" s="41">
      <c r="A174" s="54" t="n"/>
      <c r="B174" s="54" t="n"/>
      <c r="C174" s="54" t="n"/>
      <c r="D174" s="54" t="n"/>
      <c r="E174" s="54" t="n"/>
      <c r="F174" s="54" t="n"/>
      <c r="G174" s="54" t="n"/>
      <c r="H174" s="54" t="n"/>
      <c r="I174" s="54" t="n"/>
      <c r="J174" s="55">
        <f>IF(OR(G174="",H174=""),"",G174*H174/60)</f>
        <v/>
      </c>
      <c r="K174" s="56">
        <f>IF(J174="","",J174*Summary!$C$6)</f>
        <v/>
      </c>
      <c r="L174" s="54" t="n"/>
      <c r="M174" s="54" t="n"/>
      <c r="N174" s="54" t="n"/>
      <c r="O174" s="54" t="n"/>
      <c r="P174" s="54" t="n"/>
      <c r="Q174" s="54" t="n"/>
      <c r="R174" s="54" t="n"/>
      <c r="S174" s="54" t="n"/>
      <c r="T174" s="54" t="n"/>
    </row>
    <row r="175" ht="15" customHeight="1" s="41">
      <c r="A175" s="54" t="n"/>
      <c r="B175" s="54" t="n"/>
      <c r="C175" s="54" t="n"/>
      <c r="D175" s="54" t="n"/>
      <c r="E175" s="54" t="n"/>
      <c r="F175" s="54" t="n"/>
      <c r="G175" s="54" t="n"/>
      <c r="H175" s="54" t="n"/>
      <c r="I175" s="54" t="n"/>
      <c r="J175" s="55">
        <f>IF(OR(G175="",H175=""),"",G175*H175/60)</f>
        <v/>
      </c>
      <c r="K175" s="56">
        <f>IF(J175="","",J175*Summary!$C$6)</f>
        <v/>
      </c>
      <c r="L175" s="54" t="n"/>
      <c r="M175" s="54" t="n"/>
      <c r="N175" s="54" t="n"/>
      <c r="O175" s="54" t="n"/>
      <c r="P175" s="54" t="n"/>
      <c r="Q175" s="54" t="n"/>
      <c r="R175" s="54" t="n"/>
      <c r="S175" s="54" t="n"/>
      <c r="T175" s="54" t="n"/>
    </row>
    <row r="176" ht="15" customHeight="1" s="41">
      <c r="A176" s="54" t="n"/>
      <c r="B176" s="54" t="n"/>
      <c r="C176" s="54" t="n"/>
      <c r="D176" s="54" t="n"/>
      <c r="E176" s="54" t="n"/>
      <c r="F176" s="54" t="n"/>
      <c r="G176" s="54" t="n"/>
      <c r="H176" s="54" t="n"/>
      <c r="I176" s="54" t="n"/>
      <c r="J176" s="55">
        <f>IF(OR(G176="",H176=""),"",G176*H176/60)</f>
        <v/>
      </c>
      <c r="K176" s="56">
        <f>IF(J176="","",J176*Summary!$C$6)</f>
        <v/>
      </c>
      <c r="L176" s="54" t="n"/>
      <c r="M176" s="54" t="n"/>
      <c r="N176" s="54" t="n"/>
      <c r="O176" s="54" t="n"/>
      <c r="P176" s="54" t="n"/>
      <c r="Q176" s="54" t="n"/>
      <c r="R176" s="54" t="n"/>
      <c r="S176" s="54" t="n"/>
      <c r="T176" s="54" t="n"/>
    </row>
    <row r="177" ht="15" customHeight="1" s="41">
      <c r="A177" s="54" t="n"/>
      <c r="B177" s="54" t="n"/>
      <c r="C177" s="54" t="n"/>
      <c r="D177" s="54" t="n"/>
      <c r="E177" s="54" t="n"/>
      <c r="F177" s="54" t="n"/>
      <c r="G177" s="54" t="n"/>
      <c r="H177" s="54" t="n"/>
      <c r="I177" s="54" t="n"/>
      <c r="J177" s="55">
        <f>IF(OR(G177="",H177=""),"",G177*H177/60)</f>
        <v/>
      </c>
      <c r="K177" s="56">
        <f>IF(J177="","",J177*Summary!$C$6)</f>
        <v/>
      </c>
      <c r="L177" s="54" t="n"/>
      <c r="M177" s="54" t="n"/>
      <c r="N177" s="54" t="n"/>
      <c r="O177" s="54" t="n"/>
      <c r="P177" s="54" t="n"/>
      <c r="Q177" s="54" t="n"/>
      <c r="R177" s="54" t="n"/>
      <c r="S177" s="54" t="n"/>
      <c r="T177" s="54" t="n"/>
    </row>
    <row r="178" ht="15" customHeight="1" s="41">
      <c r="A178" s="54" t="n"/>
      <c r="B178" s="54" t="n"/>
      <c r="C178" s="54" t="n"/>
      <c r="D178" s="54" t="n"/>
      <c r="E178" s="54" t="n"/>
      <c r="F178" s="54" t="n"/>
      <c r="G178" s="54" t="n"/>
      <c r="H178" s="54" t="n"/>
      <c r="I178" s="54" t="n"/>
      <c r="J178" s="55">
        <f>IF(OR(G178="",H178=""),"",G178*H178/60)</f>
        <v/>
      </c>
      <c r="K178" s="56">
        <f>IF(J178="","",J178*Summary!$C$6)</f>
        <v/>
      </c>
      <c r="L178" s="54" t="n"/>
      <c r="M178" s="54" t="n"/>
      <c r="N178" s="54" t="n"/>
      <c r="O178" s="54" t="n"/>
      <c r="P178" s="54" t="n"/>
      <c r="Q178" s="54" t="n"/>
      <c r="R178" s="54" t="n"/>
      <c r="S178" s="54" t="n"/>
      <c r="T178" s="54" t="n"/>
    </row>
    <row r="179" ht="15" customHeight="1" s="41">
      <c r="A179" s="54" t="n"/>
      <c r="B179" s="54" t="n"/>
      <c r="C179" s="54" t="n"/>
      <c r="D179" s="54" t="n"/>
      <c r="E179" s="54" t="n"/>
      <c r="F179" s="54" t="n"/>
      <c r="G179" s="54" t="n"/>
      <c r="H179" s="54" t="n"/>
      <c r="I179" s="54" t="n"/>
      <c r="J179" s="55">
        <f>IF(OR(G179="",H179=""),"",G179*H179/60)</f>
        <v/>
      </c>
      <c r="K179" s="56">
        <f>IF(J179="","",J179*Summary!$C$6)</f>
        <v/>
      </c>
      <c r="L179" s="54" t="n"/>
      <c r="M179" s="54" t="n"/>
      <c r="N179" s="54" t="n"/>
      <c r="O179" s="54" t="n"/>
      <c r="P179" s="54" t="n"/>
      <c r="Q179" s="54" t="n"/>
      <c r="R179" s="54" t="n"/>
      <c r="S179" s="54" t="n"/>
      <c r="T179" s="54" t="n"/>
    </row>
    <row r="180" ht="15" customHeight="1" s="41">
      <c r="A180" s="54" t="n"/>
      <c r="B180" s="54" t="n"/>
      <c r="C180" s="54" t="n"/>
      <c r="D180" s="54" t="n"/>
      <c r="E180" s="54" t="n"/>
      <c r="F180" s="54" t="n"/>
      <c r="G180" s="54" t="n"/>
      <c r="H180" s="54" t="n"/>
      <c r="I180" s="54" t="n"/>
      <c r="J180" s="55">
        <f>IF(OR(G180="",H180=""),"",G180*H180/60)</f>
        <v/>
      </c>
      <c r="K180" s="56">
        <f>IF(J180="","",J180*Summary!$C$6)</f>
        <v/>
      </c>
      <c r="L180" s="54" t="n"/>
      <c r="M180" s="54" t="n"/>
      <c r="N180" s="54" t="n"/>
      <c r="O180" s="54" t="n"/>
      <c r="P180" s="54" t="n"/>
      <c r="Q180" s="54" t="n"/>
      <c r="R180" s="54" t="n"/>
      <c r="S180" s="54" t="n"/>
      <c r="T180" s="54" t="n"/>
    </row>
    <row r="181" ht="15" customHeight="1" s="41">
      <c r="A181" s="54" t="n"/>
      <c r="B181" s="54" t="n"/>
      <c r="C181" s="54" t="n"/>
      <c r="D181" s="54" t="n"/>
      <c r="E181" s="54" t="n"/>
      <c r="F181" s="54" t="n"/>
      <c r="G181" s="54" t="n"/>
      <c r="H181" s="54" t="n"/>
      <c r="I181" s="54" t="n"/>
      <c r="J181" s="55">
        <f>IF(OR(G181="",H181=""),"",G181*H181/60)</f>
        <v/>
      </c>
      <c r="K181" s="56">
        <f>IF(J181="","",J181*Summary!$C$6)</f>
        <v/>
      </c>
      <c r="L181" s="54" t="n"/>
      <c r="M181" s="54" t="n"/>
      <c r="N181" s="54" t="n"/>
      <c r="O181" s="54" t="n"/>
      <c r="P181" s="54" t="n"/>
      <c r="Q181" s="54" t="n"/>
      <c r="R181" s="54" t="n"/>
      <c r="S181" s="54" t="n"/>
      <c r="T181" s="54" t="n"/>
    </row>
    <row r="182" ht="15" customHeight="1" s="41">
      <c r="A182" s="54" t="n"/>
      <c r="B182" s="54" t="n"/>
      <c r="C182" s="54" t="n"/>
      <c r="D182" s="54" t="n"/>
      <c r="E182" s="54" t="n"/>
      <c r="F182" s="54" t="n"/>
      <c r="G182" s="54" t="n"/>
      <c r="H182" s="54" t="n"/>
      <c r="I182" s="54" t="n"/>
      <c r="J182" s="55">
        <f>IF(OR(G182="",H182=""),"",G182*H182/60)</f>
        <v/>
      </c>
      <c r="K182" s="56">
        <f>IF(J182="","",J182*Summary!$C$6)</f>
        <v/>
      </c>
      <c r="L182" s="54" t="n"/>
      <c r="M182" s="54" t="n"/>
      <c r="N182" s="54" t="n"/>
      <c r="O182" s="54" t="n"/>
      <c r="P182" s="54" t="n"/>
      <c r="Q182" s="54" t="n"/>
      <c r="R182" s="54" t="n"/>
      <c r="S182" s="54" t="n"/>
      <c r="T182" s="54" t="n"/>
    </row>
    <row r="183" ht="15" customHeight="1" s="41">
      <c r="A183" s="54" t="n"/>
      <c r="B183" s="54" t="n"/>
      <c r="C183" s="54" t="n"/>
      <c r="D183" s="54" t="n"/>
      <c r="E183" s="54" t="n"/>
      <c r="F183" s="54" t="n"/>
      <c r="G183" s="54" t="n"/>
      <c r="H183" s="54" t="n"/>
      <c r="I183" s="54" t="n"/>
      <c r="J183" s="55">
        <f>IF(OR(G183="",H183=""),"",G183*H183/60)</f>
        <v/>
      </c>
      <c r="K183" s="56">
        <f>IF(J183="","",J183*Summary!$C$6)</f>
        <v/>
      </c>
      <c r="L183" s="54" t="n"/>
      <c r="M183" s="54" t="n"/>
      <c r="N183" s="54" t="n"/>
      <c r="O183" s="54" t="n"/>
      <c r="P183" s="54" t="n"/>
      <c r="Q183" s="54" t="n"/>
      <c r="R183" s="54" t="n"/>
      <c r="S183" s="54" t="n"/>
      <c r="T183" s="54" t="n"/>
    </row>
    <row r="184" ht="15" customHeight="1" s="41">
      <c r="A184" s="54" t="n"/>
      <c r="B184" s="54" t="n"/>
      <c r="C184" s="54" t="n"/>
      <c r="D184" s="54" t="n"/>
      <c r="E184" s="54" t="n"/>
      <c r="F184" s="54" t="n"/>
      <c r="G184" s="54" t="n"/>
      <c r="H184" s="54" t="n"/>
      <c r="I184" s="54" t="n"/>
      <c r="J184" s="55">
        <f>IF(OR(G184="",H184=""),"",G184*H184/60)</f>
        <v/>
      </c>
      <c r="K184" s="56">
        <f>IF(J184="","",J184*Summary!$C$6)</f>
        <v/>
      </c>
      <c r="L184" s="54" t="n"/>
      <c r="M184" s="54" t="n"/>
      <c r="N184" s="54" t="n"/>
      <c r="O184" s="54" t="n"/>
      <c r="P184" s="54" t="n"/>
      <c r="Q184" s="54" t="n"/>
      <c r="R184" s="54" t="n"/>
      <c r="S184" s="54" t="n"/>
      <c r="T184" s="54" t="n"/>
    </row>
    <row r="185" ht="15" customHeight="1" s="41">
      <c r="A185" s="54" t="n"/>
      <c r="B185" s="54" t="n"/>
      <c r="C185" s="54" t="n"/>
      <c r="D185" s="54" t="n"/>
      <c r="E185" s="54" t="n"/>
      <c r="F185" s="54" t="n"/>
      <c r="G185" s="54" t="n"/>
      <c r="H185" s="54" t="n"/>
      <c r="I185" s="54" t="n"/>
      <c r="J185" s="55">
        <f>IF(OR(G185="",H185=""),"",G185*H185/60)</f>
        <v/>
      </c>
      <c r="K185" s="56">
        <f>IF(J185="","",J185*Summary!$C$6)</f>
        <v/>
      </c>
      <c r="L185" s="54" t="n"/>
      <c r="M185" s="54" t="n"/>
      <c r="N185" s="54" t="n"/>
      <c r="O185" s="54" t="n"/>
      <c r="P185" s="54" t="n"/>
      <c r="Q185" s="54" t="n"/>
      <c r="R185" s="54" t="n"/>
      <c r="S185" s="54" t="n"/>
      <c r="T185" s="54" t="n"/>
    </row>
    <row r="186" ht="15" customHeight="1" s="41">
      <c r="A186" s="54" t="n"/>
      <c r="B186" s="54" t="n"/>
      <c r="C186" s="54" t="n"/>
      <c r="D186" s="54" t="n"/>
      <c r="E186" s="54" t="n"/>
      <c r="F186" s="54" t="n"/>
      <c r="G186" s="54" t="n"/>
      <c r="H186" s="54" t="n"/>
      <c r="I186" s="54" t="n"/>
      <c r="J186" s="55">
        <f>IF(OR(G186="",H186=""),"",G186*H186/60)</f>
        <v/>
      </c>
      <c r="K186" s="56">
        <f>IF(J186="","",J186*Summary!$C$6)</f>
        <v/>
      </c>
      <c r="L186" s="54" t="n"/>
      <c r="M186" s="54" t="n"/>
      <c r="N186" s="54" t="n"/>
      <c r="O186" s="54" t="n"/>
      <c r="P186" s="54" t="n"/>
      <c r="Q186" s="54" t="n"/>
      <c r="R186" s="54" t="n"/>
      <c r="S186" s="54" t="n"/>
      <c r="T186" s="54" t="n"/>
    </row>
    <row r="187" ht="15" customHeight="1" s="41">
      <c r="A187" s="54" t="n"/>
      <c r="B187" s="54" t="n"/>
      <c r="C187" s="54" t="n"/>
      <c r="D187" s="54" t="n"/>
      <c r="E187" s="54" t="n"/>
      <c r="F187" s="54" t="n"/>
      <c r="G187" s="54" t="n"/>
      <c r="H187" s="54" t="n"/>
      <c r="I187" s="54" t="n"/>
      <c r="J187" s="55">
        <f>IF(OR(G187="",H187=""),"",G187*H187/60)</f>
        <v/>
      </c>
      <c r="K187" s="56">
        <f>IF(J187="","",J187*Summary!$C$6)</f>
        <v/>
      </c>
      <c r="L187" s="54" t="n"/>
      <c r="M187" s="54" t="n"/>
      <c r="N187" s="54" t="n"/>
      <c r="O187" s="54" t="n"/>
      <c r="P187" s="54" t="n"/>
      <c r="Q187" s="54" t="n"/>
      <c r="R187" s="54" t="n"/>
      <c r="S187" s="54" t="n"/>
      <c r="T187" s="54" t="n"/>
    </row>
    <row r="188" ht="15" customHeight="1" s="41">
      <c r="A188" s="54" t="n"/>
      <c r="B188" s="54" t="n"/>
      <c r="C188" s="54" t="n"/>
      <c r="D188" s="54" t="n"/>
      <c r="E188" s="54" t="n"/>
      <c r="F188" s="54" t="n"/>
      <c r="G188" s="54" t="n"/>
      <c r="H188" s="54" t="n"/>
      <c r="I188" s="54" t="n"/>
      <c r="J188" s="55">
        <f>IF(OR(G188="",H188=""),"",G188*H188/60)</f>
        <v/>
      </c>
      <c r="K188" s="56">
        <f>IF(J188="","",J188*Summary!$C$6)</f>
        <v/>
      </c>
      <c r="L188" s="54" t="n"/>
      <c r="M188" s="54" t="n"/>
      <c r="N188" s="54" t="n"/>
      <c r="O188" s="54" t="n"/>
      <c r="P188" s="54" t="n"/>
      <c r="Q188" s="54" t="n"/>
      <c r="R188" s="54" t="n"/>
      <c r="S188" s="54" t="n"/>
      <c r="T188" s="54" t="n"/>
    </row>
    <row r="189" ht="15" customHeight="1" s="41">
      <c r="A189" s="54" t="n"/>
      <c r="B189" s="54" t="n"/>
      <c r="C189" s="54" t="n"/>
      <c r="D189" s="54" t="n"/>
      <c r="E189" s="54" t="n"/>
      <c r="F189" s="54" t="n"/>
      <c r="G189" s="54" t="n"/>
      <c r="H189" s="54" t="n"/>
      <c r="I189" s="54" t="n"/>
      <c r="J189" s="55">
        <f>IF(OR(G189="",H189=""),"",G189*H189/60)</f>
        <v/>
      </c>
      <c r="K189" s="56">
        <f>IF(J189="","",J189*Summary!$C$6)</f>
        <v/>
      </c>
      <c r="L189" s="54" t="n"/>
      <c r="M189" s="54" t="n"/>
      <c r="N189" s="54" t="n"/>
      <c r="O189" s="54" t="n"/>
      <c r="P189" s="54" t="n"/>
      <c r="Q189" s="54" t="n"/>
      <c r="R189" s="54" t="n"/>
      <c r="S189" s="54" t="n"/>
      <c r="T189" s="54" t="n"/>
    </row>
    <row r="190" ht="15" customHeight="1" s="41">
      <c r="A190" s="54" t="n"/>
      <c r="B190" s="54" t="n"/>
      <c r="C190" s="54" t="n"/>
      <c r="D190" s="54" t="n"/>
      <c r="E190" s="54" t="n"/>
      <c r="F190" s="54" t="n"/>
      <c r="G190" s="54" t="n"/>
      <c r="H190" s="54" t="n"/>
      <c r="I190" s="54" t="n"/>
      <c r="J190" s="55">
        <f>IF(OR(G190="",H190=""),"",G190*H190/60)</f>
        <v/>
      </c>
      <c r="K190" s="56">
        <f>IF(J190="","",J190*Summary!$C$6)</f>
        <v/>
      </c>
      <c r="L190" s="54" t="n"/>
      <c r="M190" s="54" t="n"/>
      <c r="N190" s="54" t="n"/>
      <c r="O190" s="54" t="n"/>
      <c r="P190" s="54" t="n"/>
      <c r="Q190" s="54" t="n"/>
      <c r="R190" s="54" t="n"/>
      <c r="S190" s="54" t="n"/>
      <c r="T190" s="54" t="n"/>
    </row>
    <row r="191" ht="15" customHeight="1" s="41">
      <c r="A191" s="54" t="n"/>
      <c r="B191" s="54" t="n"/>
      <c r="C191" s="54" t="n"/>
      <c r="D191" s="54" t="n"/>
      <c r="E191" s="54" t="n"/>
      <c r="F191" s="54" t="n"/>
      <c r="G191" s="54" t="n"/>
      <c r="H191" s="54" t="n"/>
      <c r="I191" s="54" t="n"/>
      <c r="J191" s="55">
        <f>IF(OR(G191="",H191=""),"",G191*H191/60)</f>
        <v/>
      </c>
      <c r="K191" s="56">
        <f>IF(J191="","",J191*Summary!$C$6)</f>
        <v/>
      </c>
      <c r="L191" s="54" t="n"/>
      <c r="M191" s="54" t="n"/>
      <c r="N191" s="54" t="n"/>
      <c r="O191" s="54" t="n"/>
      <c r="P191" s="54" t="n"/>
      <c r="Q191" s="54" t="n"/>
      <c r="R191" s="54" t="n"/>
      <c r="S191" s="54" t="n"/>
      <c r="T191" s="54" t="n"/>
    </row>
    <row r="192" ht="15" customHeight="1" s="41">
      <c r="A192" s="54" t="n"/>
      <c r="B192" s="54" t="n"/>
      <c r="C192" s="54" t="n"/>
      <c r="D192" s="54" t="n"/>
      <c r="E192" s="54" t="n"/>
      <c r="F192" s="54" t="n"/>
      <c r="G192" s="54" t="n"/>
      <c r="H192" s="54" t="n"/>
      <c r="I192" s="54" t="n"/>
      <c r="J192" s="55">
        <f>IF(OR(G192="",H192=""),"",G192*H192/60)</f>
        <v/>
      </c>
      <c r="K192" s="56">
        <f>IF(J192="","",J192*Summary!$C$6)</f>
        <v/>
      </c>
      <c r="L192" s="54" t="n"/>
      <c r="M192" s="54" t="n"/>
      <c r="N192" s="54" t="n"/>
      <c r="O192" s="54" t="n"/>
      <c r="P192" s="54" t="n"/>
      <c r="Q192" s="54" t="n"/>
      <c r="R192" s="54" t="n"/>
      <c r="S192" s="54" t="n"/>
      <c r="T192" s="54" t="n"/>
    </row>
    <row r="193" ht="15" customHeight="1" s="41">
      <c r="A193" s="54" t="n"/>
      <c r="B193" s="54" t="n"/>
      <c r="C193" s="54" t="n"/>
      <c r="D193" s="54" t="n"/>
      <c r="E193" s="54" t="n"/>
      <c r="F193" s="54" t="n"/>
      <c r="G193" s="54" t="n"/>
      <c r="H193" s="54" t="n"/>
      <c r="I193" s="54" t="n"/>
      <c r="J193" s="55">
        <f>IF(OR(G193="",H193=""),"",G193*H193/60)</f>
        <v/>
      </c>
      <c r="K193" s="56">
        <f>IF(J193="","",J193*Summary!$C$6)</f>
        <v/>
      </c>
      <c r="L193" s="54" t="n"/>
      <c r="M193" s="54" t="n"/>
      <c r="N193" s="54" t="n"/>
      <c r="O193" s="54" t="n"/>
      <c r="P193" s="54" t="n"/>
      <c r="Q193" s="54" t="n"/>
      <c r="R193" s="54" t="n"/>
      <c r="S193" s="54" t="n"/>
      <c r="T193" s="54" t="n"/>
    </row>
    <row r="194" ht="15" customHeight="1" s="41">
      <c r="A194" s="54" t="n"/>
      <c r="B194" s="54" t="n"/>
      <c r="C194" s="54" t="n"/>
      <c r="D194" s="54" t="n"/>
      <c r="E194" s="54" t="n"/>
      <c r="F194" s="54" t="n"/>
      <c r="G194" s="54" t="n"/>
      <c r="H194" s="54" t="n"/>
      <c r="I194" s="54" t="n"/>
      <c r="J194" s="55">
        <f>IF(OR(G194="",H194=""),"",G194*H194/60)</f>
        <v/>
      </c>
      <c r="K194" s="56">
        <f>IF(J194="","",J194*Summary!$C$6)</f>
        <v/>
      </c>
      <c r="L194" s="54" t="n"/>
      <c r="M194" s="54" t="n"/>
      <c r="N194" s="54" t="n"/>
      <c r="O194" s="54" t="n"/>
      <c r="P194" s="54" t="n"/>
      <c r="Q194" s="54" t="n"/>
      <c r="R194" s="54" t="n"/>
      <c r="S194" s="54" t="n"/>
      <c r="T194" s="54" t="n"/>
    </row>
    <row r="195" ht="15" customHeight="1" s="41">
      <c r="A195" s="54" t="n"/>
      <c r="B195" s="54" t="n"/>
      <c r="C195" s="54" t="n"/>
      <c r="D195" s="54" t="n"/>
      <c r="E195" s="54" t="n"/>
      <c r="F195" s="54" t="n"/>
      <c r="G195" s="54" t="n"/>
      <c r="H195" s="54" t="n"/>
      <c r="I195" s="54" t="n"/>
      <c r="J195" s="55">
        <f>IF(OR(G195="",H195=""),"",G195*H195/60)</f>
        <v/>
      </c>
      <c r="K195" s="56">
        <f>IF(J195="","",J195*Summary!$C$6)</f>
        <v/>
      </c>
      <c r="L195" s="54" t="n"/>
      <c r="M195" s="54" t="n"/>
      <c r="N195" s="54" t="n"/>
      <c r="O195" s="54" t="n"/>
      <c r="P195" s="54" t="n"/>
      <c r="Q195" s="54" t="n"/>
      <c r="R195" s="54" t="n"/>
      <c r="S195" s="54" t="n"/>
      <c r="T195" s="54" t="n"/>
    </row>
    <row r="196" ht="15" customHeight="1" s="41">
      <c r="A196" s="54" t="n"/>
      <c r="B196" s="54" t="n"/>
      <c r="C196" s="54" t="n"/>
      <c r="D196" s="54" t="n"/>
      <c r="E196" s="54" t="n"/>
      <c r="F196" s="54" t="n"/>
      <c r="G196" s="54" t="n"/>
      <c r="H196" s="54" t="n"/>
      <c r="I196" s="54" t="n"/>
      <c r="J196" s="55">
        <f>IF(OR(G196="",H196=""),"",G196*H196/60)</f>
        <v/>
      </c>
      <c r="K196" s="56">
        <f>IF(J196="","",J196*Summary!$C$6)</f>
        <v/>
      </c>
      <c r="L196" s="54" t="n"/>
      <c r="M196" s="54" t="n"/>
      <c r="N196" s="54" t="n"/>
      <c r="O196" s="54" t="n"/>
      <c r="P196" s="54" t="n"/>
      <c r="Q196" s="54" t="n"/>
      <c r="R196" s="54" t="n"/>
      <c r="S196" s="54" t="n"/>
      <c r="T196" s="54" t="n"/>
    </row>
    <row r="197" ht="15" customHeight="1" s="41">
      <c r="A197" s="54" t="n"/>
      <c r="B197" s="54" t="n"/>
      <c r="C197" s="54" t="n"/>
      <c r="D197" s="54" t="n"/>
      <c r="E197" s="54" t="n"/>
      <c r="F197" s="54" t="n"/>
      <c r="G197" s="54" t="n"/>
      <c r="H197" s="54" t="n"/>
      <c r="I197" s="54" t="n"/>
      <c r="J197" s="55">
        <f>IF(OR(G197="",H197=""),"",G197*H197/60)</f>
        <v/>
      </c>
      <c r="K197" s="56">
        <f>IF(J197="","",J197*Summary!$C$6)</f>
        <v/>
      </c>
      <c r="L197" s="54" t="n"/>
      <c r="M197" s="54" t="n"/>
      <c r="N197" s="54" t="n"/>
      <c r="O197" s="54" t="n"/>
      <c r="P197" s="54" t="n"/>
      <c r="Q197" s="54" t="n"/>
      <c r="R197" s="54" t="n"/>
      <c r="S197" s="54" t="n"/>
      <c r="T197" s="54" t="n"/>
    </row>
    <row r="198" ht="15" customHeight="1" s="41">
      <c r="A198" s="54" t="n"/>
      <c r="B198" s="54" t="n"/>
      <c r="C198" s="54" t="n"/>
      <c r="D198" s="54" t="n"/>
      <c r="E198" s="54" t="n"/>
      <c r="F198" s="54" t="n"/>
      <c r="G198" s="54" t="n"/>
      <c r="H198" s="54" t="n"/>
      <c r="I198" s="54" t="n"/>
      <c r="J198" s="55">
        <f>IF(OR(G198="",H198=""),"",G198*H198/60)</f>
        <v/>
      </c>
      <c r="K198" s="56">
        <f>IF(J198="","",J198*Summary!$C$6)</f>
        <v/>
      </c>
      <c r="L198" s="54" t="n"/>
      <c r="M198" s="54" t="n"/>
      <c r="N198" s="54" t="n"/>
      <c r="O198" s="54" t="n"/>
      <c r="P198" s="54" t="n"/>
      <c r="Q198" s="54" t="n"/>
      <c r="R198" s="54" t="n"/>
      <c r="S198" s="54" t="n"/>
      <c r="T198" s="54" t="n"/>
    </row>
    <row r="199" ht="15" customHeight="1" s="41">
      <c r="A199" s="54" t="n"/>
      <c r="B199" s="54" t="n"/>
      <c r="C199" s="54" t="n"/>
      <c r="D199" s="54" t="n"/>
      <c r="E199" s="54" t="n"/>
      <c r="F199" s="54" t="n"/>
      <c r="G199" s="54" t="n"/>
      <c r="H199" s="54" t="n"/>
      <c r="I199" s="54" t="n"/>
      <c r="J199" s="55">
        <f>IF(OR(G199="",H199=""),"",G199*H199/60)</f>
        <v/>
      </c>
      <c r="K199" s="56">
        <f>IF(J199="","",J199*Summary!$C$6)</f>
        <v/>
      </c>
      <c r="L199" s="54" t="n"/>
      <c r="M199" s="54" t="n"/>
      <c r="N199" s="54" t="n"/>
      <c r="O199" s="54" t="n"/>
      <c r="P199" s="54" t="n"/>
      <c r="Q199" s="54" t="n"/>
      <c r="R199" s="54" t="n"/>
      <c r="S199" s="54" t="n"/>
      <c r="T199" s="54" t="n"/>
    </row>
    <row r="200" ht="15" customHeight="1" s="41">
      <c r="A200" s="54" t="n"/>
      <c r="B200" s="54" t="n"/>
      <c r="C200" s="54" t="n"/>
      <c r="D200" s="54" t="n"/>
      <c r="E200" s="54" t="n"/>
      <c r="F200" s="54" t="n"/>
      <c r="G200" s="54" t="n"/>
      <c r="H200" s="54" t="n"/>
      <c r="I200" s="54" t="n"/>
      <c r="J200" s="55">
        <f>IF(OR(G200="",H200=""),"",G200*H200/60)</f>
        <v/>
      </c>
      <c r="K200" s="56">
        <f>IF(J200="","",J200*Summary!$C$6)</f>
        <v/>
      </c>
      <c r="L200" s="54" t="n"/>
      <c r="M200" s="54" t="n"/>
      <c r="N200" s="54" t="n"/>
      <c r="O200" s="54" t="n"/>
      <c r="P200" s="54" t="n"/>
      <c r="Q200" s="54" t="n"/>
      <c r="R200" s="54" t="n"/>
      <c r="S200" s="54" t="n"/>
      <c r="T200" s="54" t="n"/>
    </row>
    <row r="201" ht="15" customHeight="1" s="41">
      <c r="A201" s="54" t="n"/>
      <c r="B201" s="54" t="n"/>
      <c r="C201" s="54" t="n"/>
      <c r="D201" s="54" t="n"/>
      <c r="E201" s="54" t="n"/>
      <c r="F201" s="54" t="n"/>
      <c r="G201" s="54" t="n"/>
      <c r="H201" s="54" t="n"/>
      <c r="I201" s="54" t="n"/>
      <c r="J201" s="55">
        <f>IF(OR(G201="",H201=""),"",G201*H201/60)</f>
        <v/>
      </c>
      <c r="K201" s="56">
        <f>IF(J201="","",J201*Summary!$C$6)</f>
        <v/>
      </c>
      <c r="L201" s="54" t="n"/>
      <c r="M201" s="54" t="n"/>
      <c r="N201" s="54" t="n"/>
      <c r="O201" s="54" t="n"/>
      <c r="P201" s="54" t="n"/>
      <c r="Q201" s="54" t="n"/>
      <c r="R201" s="54" t="n"/>
      <c r="S201" s="54" t="n"/>
      <c r="T201" s="54" t="n"/>
    </row>
    <row r="202" ht="15" customHeight="1" s="41">
      <c r="A202" s="54" t="n"/>
      <c r="B202" s="54" t="n"/>
      <c r="C202" s="54" t="n"/>
      <c r="D202" s="54" t="n"/>
      <c r="E202" s="54" t="n"/>
      <c r="F202" s="54" t="n"/>
      <c r="G202" s="54" t="n"/>
      <c r="H202" s="54" t="n"/>
      <c r="I202" s="54" t="n"/>
      <c r="J202" s="55">
        <f>IF(OR(G202="",H202=""),"",G202*H202/60)</f>
        <v/>
      </c>
      <c r="K202" s="56">
        <f>IF(J202="","",J202*Summary!$C$6)</f>
        <v/>
      </c>
      <c r="L202" s="54" t="n"/>
      <c r="M202" s="54" t="n"/>
      <c r="N202" s="54" t="n"/>
      <c r="O202" s="54" t="n"/>
      <c r="P202" s="54" t="n"/>
      <c r="Q202" s="54" t="n"/>
      <c r="R202" s="54" t="n"/>
      <c r="S202" s="54" t="n"/>
      <c r="T202" s="54" t="n"/>
    </row>
    <row r="203" ht="15" customHeight="1" s="41">
      <c r="A203" s="54" t="n"/>
      <c r="B203" s="54" t="n"/>
      <c r="C203" s="54" t="n"/>
      <c r="D203" s="54" t="n"/>
      <c r="E203" s="54" t="n"/>
      <c r="F203" s="54" t="n"/>
      <c r="G203" s="54" t="n"/>
      <c r="H203" s="54" t="n"/>
      <c r="I203" s="54" t="n"/>
      <c r="J203" s="55">
        <f>IF(OR(G203="",H203=""),"",G203*H203/60)</f>
        <v/>
      </c>
      <c r="K203" s="56">
        <f>IF(J203="","",J203*Summary!$C$6)</f>
        <v/>
      </c>
      <c r="L203" s="54" t="n"/>
      <c r="M203" s="54" t="n"/>
      <c r="N203" s="54" t="n"/>
      <c r="O203" s="54" t="n"/>
      <c r="P203" s="54" t="n"/>
      <c r="Q203" s="54" t="n"/>
      <c r="R203" s="54" t="n"/>
      <c r="S203" s="54" t="n"/>
      <c r="T203" s="54" t="n"/>
    </row>
    <row r="204" ht="15" customHeight="1" s="41">
      <c r="A204" s="54" t="n"/>
      <c r="B204" s="54" t="n"/>
      <c r="C204" s="54" t="n"/>
      <c r="D204" s="54" t="n"/>
      <c r="E204" s="54" t="n"/>
      <c r="F204" s="54" t="n"/>
      <c r="G204" s="54" t="n"/>
      <c r="H204" s="54" t="n"/>
      <c r="I204" s="54" t="n"/>
      <c r="J204" s="55">
        <f>IF(OR(G204="",H204=""),"",G204*H204/60)</f>
        <v/>
      </c>
      <c r="K204" s="56">
        <f>IF(J204="","",J204*Summary!$C$6)</f>
        <v/>
      </c>
      <c r="L204" s="54" t="n"/>
      <c r="M204" s="54" t="n"/>
      <c r="N204" s="54" t="n"/>
      <c r="O204" s="54" t="n"/>
      <c r="P204" s="54" t="n"/>
      <c r="Q204" s="54" t="n"/>
      <c r="R204" s="54" t="n"/>
      <c r="S204" s="54" t="n"/>
      <c r="T204" s="54" t="n"/>
    </row>
  </sheetData>
  <conditionalFormatting sqref="S5:S204">
    <cfRule type="expression" rank="0" priority="2" equalAverage="0" aboveAverage="0" dxfId="0" text="" percent="0" bottom="0">
      <formula>S5="Cut"</formula>
    </cfRule>
  </conditionalFormatting>
  <dataValidations count="3">
    <dataValidation sqref="L5:O204 R5:R204" showDropDown="0" showInputMessage="0" showErrorMessage="0" allowBlank="1" type="list" errorStyle="stop" operator="between">
      <formula1>"Y,N"</formula1>
      <formula2>0</formula2>
    </dataValidation>
    <dataValidation sqref="I5:I204" showDropDown="0" showInputMessage="0" showErrorMessage="0" allowBlank="1" type="list" errorStyle="stop" operator="between">
      <formula1>"Low,Medium,High"</formula1>
      <formula2>0</formula2>
    </dataValidation>
    <dataValidation sqref="S5:S204" showDropDown="0" showInputMessage="0" showErrorMessage="0" allowBlank="1" type="list" errorStyle="stop" operator="between">
      <formula1>"Keep,Simplify,Cut"</formula1>
      <formula2>0</formula2>
    </dataValidation>
  </dataValidations>
  <printOptions horizontalCentered="0" verticalCentered="0" headings="0" gridLines="0" gridLinesSet="1"/>
  <pageMargins left="0.75" right="0.75" top="1" bottom="1" header="0.511811023622047" footer="0.5"/>
  <pageSetup orientation="landscape" paperSize="1" scale="100" fitToHeight="0" fitToWidth="1" pageOrder="downThenOver" blackAndWhite="0" draft="0" horizontalDpi="300" verticalDpi="300" copies="1"/>
  <headerFooter differentOddEven="0" differentFirst="0">
    <oddHeader/>
    <oddFooter>&amp;L&amp;8 OnTheGrow Leadership | Work Taxonomy&amp;C&amp;8 © 2026 Elizabeth A. Corey. All rights reserved.&amp;R&amp;8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filterMode="0">
    <tabColor rgb="FF36294F"/>
    <outlinePr summaryBelow="1" summaryRight="1"/>
    <pageSetUpPr fitToPage="1"/>
  </sheetPr>
  <dimension ref="A1:V20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7" customWidth="1" style="40" min="1" max="1"/>
    <col width="40" customWidth="1" style="40" min="2" max="2"/>
    <col width="10" customWidth="1" style="40" min="3" max="3"/>
    <col width="11" customWidth="1" style="40" min="4" max="4"/>
    <col width="28" customWidth="1" style="40" min="5" max="5"/>
    <col width="13" customWidth="1" style="40" min="6" max="10"/>
    <col width="11" customWidth="1" style="40" min="11" max="11"/>
    <col width="13" customWidth="1" style="40" min="12" max="15"/>
    <col width="11" customWidth="1" style="40" min="16" max="16"/>
    <col width="14" customWidth="1" style="40" min="17" max="17"/>
    <col width="11" customWidth="1" style="40" min="18" max="18"/>
    <col width="12" customWidth="1" style="40" min="19" max="19"/>
    <col width="18" customWidth="1" style="40" min="20" max="20"/>
    <col width="12" customWidth="1" style="40" min="21" max="21"/>
    <col width="40" customWidth="1" style="40" min="22" max="22"/>
  </cols>
  <sheetData>
    <row r="1" ht="19.7" customHeight="1" s="41">
      <c r="A1" s="49" t="inlineStr">
        <is>
          <t>Work Assignment Matrix</t>
        </is>
      </c>
    </row>
    <row r="2" ht="15" customHeight="1" s="41">
      <c r="A2" s="50" t="inlineStr">
        <is>
          <t>HOW TO USE THIS TAB: Tasks flow in from the Taxonomy tab. Answer Y or N in every yellow cell. Any Y in the five cost questions means High. Any Y in the four checking questions means Hard. The workbook places the task and tells you the next action.</t>
        </is>
      </c>
    </row>
    <row r="3" ht="15" customHeight="1" s="41">
      <c r="A3" s="51" t="inlineStr">
        <is>
          <t>© 2026 Elizabeth A. Corey. All rights reserved. GROWTH Execution Model™. onthegrow.ai</t>
        </is>
      </c>
    </row>
    <row r="4" ht="96" customHeight="1" s="41">
      <c r="A4" s="53" t="inlineStr">
        <is>
          <t>ID</t>
        </is>
      </c>
      <c r="B4" s="53" t="inlineStr">
        <is>
          <t>Task</t>
        </is>
      </c>
      <c r="C4" s="53" t="inlineStr">
        <is>
          <t>Hours per month</t>
        </is>
      </c>
      <c r="D4" s="53" t="inlineStr">
        <is>
          <t>Should it exist?</t>
        </is>
      </c>
      <c r="E4" s="52" t="inlineStr">
        <is>
          <t>Bad case, named</t>
        </is>
      </c>
      <c r="F4" s="52" t="inlineStr">
        <is>
          <t>Financial: could a mistake cost money above what a leader can approve?</t>
        </is>
      </c>
      <c r="G4" s="52" t="inlineStr">
        <is>
          <t>Legal: could a mistake create legal or compliance exposure?</t>
        </is>
      </c>
      <c r="H4" s="52" t="inlineStr">
        <is>
          <t>People: could a mistake affect someone's job, pay, or career?</t>
        </is>
      </c>
      <c r="I4" s="52" t="inlineStr">
        <is>
          <t>Reversibility: would a mistake be hard to undo?</t>
        </is>
      </c>
      <c r="J4" s="52" t="inlineStr">
        <is>
          <t>Trust: would a mistake damage trust?</t>
        </is>
      </c>
      <c r="K4" s="53" t="inlineStr">
        <is>
          <t>COST IF WRONG</t>
        </is>
      </c>
      <c r="L4" s="52" t="inlineStr">
        <is>
          <t>Time: would checking take almost as long as doing it?</t>
        </is>
      </c>
      <c r="M4" s="52" t="inlineStr">
        <is>
          <t>Visibility: could a mistake go unnoticed?</t>
        </is>
      </c>
      <c r="N4" s="52" t="inlineStr">
        <is>
          <t>Steps: would you have to check every step?</t>
        </is>
      </c>
      <c r="O4" s="52" t="inlineStr">
        <is>
          <t>Standard: is there no clear standard to check against?</t>
        </is>
      </c>
      <c r="P4" s="53" t="inlineStr">
        <is>
          <t>HOW HARD TO CHECK</t>
        </is>
      </c>
      <c r="Q4" s="52" t="inlineStr">
        <is>
          <t>Always Human topic? (termination, discipline, medical, legal)</t>
        </is>
      </c>
      <c r="R4" s="53" t="inlineStr">
        <is>
          <t>BOX</t>
        </is>
      </c>
      <c r="S4" s="52" t="inlineStr">
        <is>
          <t>Agent job description done?</t>
        </is>
      </c>
      <c r="T4" s="52" t="inlineStr">
        <is>
          <t>Owner</t>
        </is>
      </c>
      <c r="U4" s="52" t="inlineStr">
        <is>
          <t>Review date</t>
        </is>
      </c>
      <c r="V4" s="53" t="inlineStr">
        <is>
          <t>Next action</t>
        </is>
      </c>
    </row>
    <row r="5" ht="22.35" customHeight="1" s="41">
      <c r="A5" s="57">
        <f>IF(Taxonomy!A5="","",Taxonomy!A5)</f>
        <v/>
      </c>
      <c r="B5" s="57">
        <f>IF(Taxonomy!E5="","",Taxonomy!E5)</f>
        <v/>
      </c>
      <c r="C5" s="58">
        <f>IF(Taxonomy!J5="","",Taxonomy!J5)</f>
        <v/>
      </c>
      <c r="D5" s="57">
        <f>IF(Taxonomy!S5="","",Taxonomy!S5)</f>
        <v/>
      </c>
      <c r="E5" s="59" t="inlineStr">
        <is>
          <t>Getting the standard wrong means hiring against the wrong outcomes</t>
        </is>
      </c>
      <c r="F5" s="60" t="inlineStr">
        <is>
          <t>N</t>
        </is>
      </c>
      <c r="G5" s="60" t="inlineStr">
        <is>
          <t>Y</t>
        </is>
      </c>
      <c r="H5" s="60" t="inlineStr">
        <is>
          <t>Y</t>
        </is>
      </c>
      <c r="I5" s="60" t="inlineStr">
        <is>
          <t>N</t>
        </is>
      </c>
      <c r="J5" s="60" t="inlineStr">
        <is>
          <t>N</t>
        </is>
      </c>
      <c r="K5" s="61">
        <f>IF(OR(B5="",D5="Cut"),"",IF(COUNTA(F5:J5)&lt;5,"Answer all 5",IF(COUNTIF(F5:J5,"Y")&gt;0,"High","Low")))</f>
        <v/>
      </c>
      <c r="L5" s="60" t="inlineStr">
        <is>
          <t>N</t>
        </is>
      </c>
      <c r="M5" s="60" t="inlineStr">
        <is>
          <t>N</t>
        </is>
      </c>
      <c r="N5" s="60" t="inlineStr">
        <is>
          <t>N</t>
        </is>
      </c>
      <c r="O5" s="60" t="inlineStr">
        <is>
          <t>Y</t>
        </is>
      </c>
      <c r="P5" s="61">
        <f>IF(OR(B5="",D5="Cut"),"",IF(COUNTA(L5:O5)&lt;4,"Answer all 4",IF(COUNTIF(L5:O5,"Y")&gt;0,"Hard","Easy")))</f>
        <v/>
      </c>
      <c r="Q5" s="60" t="inlineStr">
        <is>
          <t>N</t>
        </is>
      </c>
      <c r="R5" s="61">
        <f>IF(B5="","",IF(D5="Cut","Cut",IF(Q5="Y","Human",IF(OR(K5="Answer all 5",P5="Answer all 4"),"Score it",IF(K5="High",IF(P5="Hard","Human","Assist"),IF(P5="Hard","Agent","Automate"))))))</f>
        <v/>
      </c>
      <c r="S5" s="60" t="n"/>
      <c r="T5" s="59" t="inlineStr">
        <is>
          <t>Recruiting manager</t>
        </is>
      </c>
      <c r="U5" s="62" t="n">
        <v>46402</v>
      </c>
      <c r="V5" s="57">
        <f>IF(B5="","",IF(R5="Cut","Stop doing this task.",IF(R5="Score it","Answer all nine questions.",IF(AND(R5="Human",Q5&lt;&gt;"Y"),"Confirm it stays Human, or redesign it so it is easier to check and score again.",IF(AND(R5="Agent",S5&lt;&gt;"Y"),"Write the agent job description before it goes live.",IF(T5="","Name an owner.",IF(U5="","Set a review date.","Ready.")))))))</f>
        <v/>
      </c>
    </row>
    <row r="6" ht="22.35" customHeight="1" s="41">
      <c r="A6" s="57">
        <f>IF(Taxonomy!A6="","",Taxonomy!A6)</f>
        <v/>
      </c>
      <c r="B6" s="57">
        <f>IF(Taxonomy!E6="","",Taxonomy!E6)</f>
        <v/>
      </c>
      <c r="C6" s="58">
        <f>IF(Taxonomy!J6="","",Taxonomy!J6)</f>
        <v/>
      </c>
      <c r="D6" s="57">
        <f>IF(Taxonomy!S6="","",Taxonomy!S6)</f>
        <v/>
      </c>
      <c r="E6" s="59" t="inlineStr">
        <is>
          <t>Biased or misleading language in a public posting</t>
        </is>
      </c>
      <c r="F6" s="60" t="inlineStr">
        <is>
          <t>N</t>
        </is>
      </c>
      <c r="G6" s="60" t="inlineStr">
        <is>
          <t>Y</t>
        </is>
      </c>
      <c r="H6" s="60" t="inlineStr">
        <is>
          <t>N</t>
        </is>
      </c>
      <c r="I6" s="60" t="inlineStr">
        <is>
          <t>N</t>
        </is>
      </c>
      <c r="J6" s="60" t="inlineStr">
        <is>
          <t>Y</t>
        </is>
      </c>
      <c r="K6" s="61">
        <f>IF(OR(B6="",D6="Cut"),"",IF(COUNTA(F6:J6)&lt;5,"Answer all 5",IF(COUNTIF(F6:J6,"Y")&gt;0,"High","Low")))</f>
        <v/>
      </c>
      <c r="L6" s="60" t="inlineStr">
        <is>
          <t>N</t>
        </is>
      </c>
      <c r="M6" s="60" t="inlineStr">
        <is>
          <t>N</t>
        </is>
      </c>
      <c r="N6" s="60" t="inlineStr">
        <is>
          <t>N</t>
        </is>
      </c>
      <c r="O6" s="60" t="inlineStr">
        <is>
          <t>N</t>
        </is>
      </c>
      <c r="P6" s="61">
        <f>IF(OR(B6="",D6="Cut"),"",IF(COUNTA(L6:O6)&lt;4,"Answer all 4",IF(COUNTIF(L6:O6,"Y")&gt;0,"Hard","Easy")))</f>
        <v/>
      </c>
      <c r="Q6" s="60" t="inlineStr">
        <is>
          <t>N</t>
        </is>
      </c>
      <c r="R6" s="61">
        <f>IF(B6="","",IF(D6="Cut","Cut",IF(Q6="Y","Human",IF(OR(K6="Answer all 5",P6="Answer all 4"),"Score it",IF(K6="High",IF(P6="Hard","Human","Assist"),IF(P6="Hard","Agent","Automate"))))))</f>
        <v/>
      </c>
      <c r="S6" s="60" t="n"/>
      <c r="T6" s="59" t="inlineStr">
        <is>
          <t>Recruiting manager</t>
        </is>
      </c>
      <c r="U6" s="62" t="n">
        <v>46402</v>
      </c>
      <c r="V6" s="57">
        <f>IF(B6="","",IF(R6="Cut","Stop doing this task.",IF(R6="Score it","Answer all nine questions.",IF(AND(R6="Human",Q6&lt;&gt;"Y"),"Confirm it stays Human, or redesign it so it is easier to check and score again.",IF(AND(R6="Agent",S6&lt;&gt;"Y"),"Write the agent job description before it goes live.",IF(T6="","Name an owner.",IF(U6="","Set a review date.","Ready.")))))))</f>
        <v/>
      </c>
    </row>
    <row r="7" ht="22.35" customHeight="1" s="41">
      <c r="A7" s="57">
        <f>IF(Taxonomy!A7="","",Taxonomy!A7)</f>
        <v/>
      </c>
      <c r="B7" s="57">
        <f>IF(Taxonomy!E7="","",Taxonomy!E7)</f>
        <v/>
      </c>
      <c r="C7" s="58">
        <f>IF(Taxonomy!J7="","",Taxonomy!J7)</f>
        <v/>
      </c>
      <c r="D7" s="57">
        <f>IF(Taxonomy!S7="","",Taxonomy!S7)</f>
        <v/>
      </c>
      <c r="E7" s="59" t="inlineStr">
        <is>
          <t>A strong candidate never makes the long list</t>
        </is>
      </c>
      <c r="F7" s="60" t="inlineStr">
        <is>
          <t>N</t>
        </is>
      </c>
      <c r="G7" s="60" t="inlineStr">
        <is>
          <t>N</t>
        </is>
      </c>
      <c r="H7" s="60" t="inlineStr">
        <is>
          <t>N</t>
        </is>
      </c>
      <c r="I7" s="60" t="inlineStr">
        <is>
          <t>N</t>
        </is>
      </c>
      <c r="J7" s="60" t="inlineStr">
        <is>
          <t>N</t>
        </is>
      </c>
      <c r="K7" s="61">
        <f>IF(OR(B7="",D7="Cut"),"",IF(COUNTA(F7:J7)&lt;5,"Answer all 5",IF(COUNTIF(F7:J7,"Y")&gt;0,"High","Low")))</f>
        <v/>
      </c>
      <c r="L7" s="60" t="inlineStr">
        <is>
          <t>N</t>
        </is>
      </c>
      <c r="M7" s="60" t="inlineStr">
        <is>
          <t>Y</t>
        </is>
      </c>
      <c r="N7" s="60" t="inlineStr">
        <is>
          <t>N</t>
        </is>
      </c>
      <c r="O7" s="60" t="inlineStr">
        <is>
          <t>N</t>
        </is>
      </c>
      <c r="P7" s="61">
        <f>IF(OR(B7="",D7="Cut"),"",IF(COUNTA(L7:O7)&lt;4,"Answer all 4",IF(COUNTIF(L7:O7,"Y")&gt;0,"Hard","Easy")))</f>
        <v/>
      </c>
      <c r="Q7" s="60" t="inlineStr">
        <is>
          <t>N</t>
        </is>
      </c>
      <c r="R7" s="61">
        <f>IF(B7="","",IF(D7="Cut","Cut",IF(Q7="Y","Human",IF(OR(K7="Answer all 5",P7="Answer all 4"),"Score it",IF(K7="High",IF(P7="Hard","Human","Assist"),IF(P7="Hard","Agent","Automate"))))))</f>
        <v/>
      </c>
      <c r="S7" s="60" t="n"/>
      <c r="T7" s="59" t="inlineStr">
        <is>
          <t>Recruiting manager</t>
        </is>
      </c>
      <c r="U7" s="62" t="n">
        <v>46402</v>
      </c>
      <c r="V7" s="57">
        <f>IF(B7="","",IF(R7="Cut","Stop doing this task.",IF(R7="Score it","Answer all nine questions.",IF(AND(R7="Human",Q7&lt;&gt;"Y"),"Confirm it stays Human, or redesign it so it is easier to check and score again.",IF(AND(R7="Agent",S7&lt;&gt;"Y"),"Write the agent job description before it goes live.",IF(T7="","Name an owner.",IF(U7="","Set a review date.","Ready.")))))))</f>
        <v/>
      </c>
    </row>
    <row r="8" ht="22.35" customHeight="1" s="41">
      <c r="A8" s="57">
        <f>IF(Taxonomy!A8="","",Taxonomy!A8)</f>
        <v/>
      </c>
      <c r="B8" s="57">
        <f>IF(Taxonomy!E8="","",Taxonomy!E8)</f>
        <v/>
      </c>
      <c r="C8" s="58">
        <f>IF(Taxonomy!J8="","",Taxonomy!J8)</f>
        <v/>
      </c>
      <c r="D8" s="57">
        <f>IF(Taxonomy!S8="","",Taxonomy!S8)</f>
        <v/>
      </c>
      <c r="E8" s="59" t="inlineStr">
        <is>
          <t>Qualified candidates screened out with no one seeing it</t>
        </is>
      </c>
      <c r="F8" s="60" t="inlineStr">
        <is>
          <t>N</t>
        </is>
      </c>
      <c r="G8" s="60" t="inlineStr">
        <is>
          <t>Y</t>
        </is>
      </c>
      <c r="H8" s="60" t="inlineStr">
        <is>
          <t>Y</t>
        </is>
      </c>
      <c r="I8" s="60" t="inlineStr">
        <is>
          <t>N</t>
        </is>
      </c>
      <c r="J8" s="60" t="inlineStr">
        <is>
          <t>Y</t>
        </is>
      </c>
      <c r="K8" s="61">
        <f>IF(OR(B8="",D8="Cut"),"",IF(COUNTA(F8:J8)&lt;5,"Answer all 5",IF(COUNTIF(F8:J8,"Y")&gt;0,"High","Low")))</f>
        <v/>
      </c>
      <c r="L8" s="60" t="inlineStr">
        <is>
          <t>N</t>
        </is>
      </c>
      <c r="M8" s="60" t="inlineStr">
        <is>
          <t>N</t>
        </is>
      </c>
      <c r="N8" s="60" t="inlineStr">
        <is>
          <t>N</t>
        </is>
      </c>
      <c r="O8" s="60" t="inlineStr">
        <is>
          <t>N</t>
        </is>
      </c>
      <c r="P8" s="61">
        <f>IF(OR(B8="",D8="Cut"),"",IF(COUNTA(L8:O8)&lt;4,"Answer all 4",IF(COUNTIF(L8:O8,"Y")&gt;0,"Hard","Easy")))</f>
        <v/>
      </c>
      <c r="Q8" s="60" t="inlineStr">
        <is>
          <t>N</t>
        </is>
      </c>
      <c r="R8" s="61">
        <f>IF(B8="","",IF(D8="Cut","Cut",IF(Q8="Y","Human",IF(OR(K8="Answer all 5",P8="Answer all 4"),"Score it",IF(K8="High",IF(P8="Hard","Human","Assist"),IF(P8="Hard","Agent","Automate"))))))</f>
        <v/>
      </c>
      <c r="S8" s="60" t="n"/>
      <c r="T8" s="59" t="inlineStr">
        <is>
          <t>Recruiting manager</t>
        </is>
      </c>
      <c r="U8" s="62" t="n">
        <v>46402</v>
      </c>
      <c r="V8" s="57">
        <f>IF(B8="","",IF(R8="Cut","Stop doing this task.",IF(R8="Score it","Answer all nine questions.",IF(AND(R8="Human",Q8&lt;&gt;"Y"),"Confirm it stays Human, or redesign it so it is easier to check and score again.",IF(AND(R8="Agent",S8&lt;&gt;"Y"),"Write the agent job description before it goes live.",IF(T8="","Name an owner.",IF(U8="","Set a review date.","Ready.")))))))</f>
        <v/>
      </c>
    </row>
    <row r="9" ht="22.35" customHeight="1" s="41">
      <c r="A9" s="57">
        <f>IF(Taxonomy!A9="","",Taxonomy!A9)</f>
        <v/>
      </c>
      <c r="B9" s="57">
        <f>IF(Taxonomy!E9="","",Taxonomy!E9)</f>
        <v/>
      </c>
      <c r="C9" s="58">
        <f>IF(Taxonomy!J9="","",Taxonomy!J9)</f>
        <v/>
      </c>
      <c r="D9" s="57">
        <f>IF(Taxonomy!S9="","",Taxonomy!S9)</f>
        <v/>
      </c>
      <c r="E9" s="59" t="inlineStr">
        <is>
          <t>A good candidate is rejected on a weak read</t>
        </is>
      </c>
      <c r="F9" s="60" t="inlineStr">
        <is>
          <t>N</t>
        </is>
      </c>
      <c r="G9" s="60" t="inlineStr">
        <is>
          <t>Y</t>
        </is>
      </c>
      <c r="H9" s="60" t="inlineStr">
        <is>
          <t>Y</t>
        </is>
      </c>
      <c r="I9" s="60" t="inlineStr">
        <is>
          <t>Y</t>
        </is>
      </c>
      <c r="J9" s="60" t="inlineStr">
        <is>
          <t>Y</t>
        </is>
      </c>
      <c r="K9" s="61">
        <f>IF(OR(B9="",D9="Cut"),"",IF(COUNTA(F9:J9)&lt;5,"Answer all 5",IF(COUNTIF(F9:J9,"Y")&gt;0,"High","Low")))</f>
        <v/>
      </c>
      <c r="L9" s="60" t="inlineStr">
        <is>
          <t>Y</t>
        </is>
      </c>
      <c r="M9" s="60" t="inlineStr">
        <is>
          <t>N</t>
        </is>
      </c>
      <c r="N9" s="60" t="inlineStr">
        <is>
          <t>N</t>
        </is>
      </c>
      <c r="O9" s="60" t="inlineStr">
        <is>
          <t>Y</t>
        </is>
      </c>
      <c r="P9" s="61">
        <f>IF(OR(B9="",D9="Cut"),"",IF(COUNTA(L9:O9)&lt;4,"Answer all 4",IF(COUNTIF(L9:O9,"Y")&gt;0,"Hard","Easy")))</f>
        <v/>
      </c>
      <c r="Q9" s="60" t="inlineStr">
        <is>
          <t>N</t>
        </is>
      </c>
      <c r="R9" s="61">
        <f>IF(B9="","",IF(D9="Cut","Cut",IF(Q9="Y","Human",IF(OR(K9="Answer all 5",P9="Answer all 4"),"Score it",IF(K9="High",IF(P9="Hard","Human","Assist"),IF(P9="Hard","Agent","Automate"))))))</f>
        <v/>
      </c>
      <c r="S9" s="60" t="n"/>
      <c r="T9" s="59" t="inlineStr">
        <is>
          <t>Recruiting manager</t>
        </is>
      </c>
      <c r="U9" s="62" t="n">
        <v>46402</v>
      </c>
      <c r="V9" s="57">
        <f>IF(B9="","",IF(R9="Cut","Stop doing this task.",IF(R9="Score it","Answer all nine questions.",IF(AND(R9="Human",Q9&lt;&gt;"Y"),"Confirm it stays Human, or redesign it so it is easier to check and score again.",IF(AND(R9="Agent",S9&lt;&gt;"Y"),"Write the agent job description before it goes live.",IF(T9="","Name an owner.",IF(U9="","Set a review date.","Ready.")))))))</f>
        <v/>
      </c>
    </row>
    <row r="10" ht="22.35" customHeight="1" s="41">
      <c r="A10" s="57">
        <f>IF(Taxonomy!A10="","",Taxonomy!A10)</f>
        <v/>
      </c>
      <c r="B10" s="57">
        <f>IF(Taxonomy!E10="","",Taxonomy!E10)</f>
        <v/>
      </c>
      <c r="C10" s="58">
        <f>IF(Taxonomy!J10="","",Taxonomy!J10)</f>
        <v/>
      </c>
      <c r="D10" s="57">
        <f>IF(Taxonomy!S10="","",Taxonomy!S10)</f>
        <v/>
      </c>
      <c r="E10" s="59" t="inlineStr">
        <is>
          <t>A candidate gets the wrong status, and the record you are required to keep is wrong</t>
        </is>
      </c>
      <c r="F10" s="60" t="inlineStr">
        <is>
          <t>N</t>
        </is>
      </c>
      <c r="G10" s="60" t="inlineStr">
        <is>
          <t>Y</t>
        </is>
      </c>
      <c r="H10" s="60" t="inlineStr">
        <is>
          <t>N</t>
        </is>
      </c>
      <c r="I10" s="60" t="inlineStr">
        <is>
          <t>N</t>
        </is>
      </c>
      <c r="J10" s="60" t="inlineStr">
        <is>
          <t>Y</t>
        </is>
      </c>
      <c r="K10" s="61">
        <f>IF(OR(B10="",D10="Cut"),"",IF(COUNTA(F10:J10)&lt;5,"Answer all 5",IF(COUNTIF(F10:J10,"Y")&gt;0,"High","Low")))</f>
        <v/>
      </c>
      <c r="L10" s="60" t="inlineStr">
        <is>
          <t>N</t>
        </is>
      </c>
      <c r="M10" s="60" t="inlineStr">
        <is>
          <t>N</t>
        </is>
      </c>
      <c r="N10" s="60" t="inlineStr">
        <is>
          <t>N</t>
        </is>
      </c>
      <c r="O10" s="60" t="inlineStr">
        <is>
          <t>N</t>
        </is>
      </c>
      <c r="P10" s="61">
        <f>IF(OR(B10="",D10="Cut"),"",IF(COUNTA(L10:O10)&lt;4,"Answer all 4",IF(COUNTIF(L10:O10,"Y")&gt;0,"Hard","Easy")))</f>
        <v/>
      </c>
      <c r="Q10" s="60" t="inlineStr">
        <is>
          <t>N</t>
        </is>
      </c>
      <c r="R10" s="61">
        <f>IF(B10="","",IF(D10="Cut","Cut",IF(Q10="Y","Human",IF(OR(K10="Answer all 5",P10="Answer all 4"),"Score it",IF(K10="High",IF(P10="Hard","Human","Assist"),IF(P10="Hard","Agent","Automate"))))))</f>
        <v/>
      </c>
      <c r="S10" s="60" t="n"/>
      <c r="T10" s="59" t="inlineStr">
        <is>
          <t>Recruiting manager</t>
        </is>
      </c>
      <c r="U10" s="62" t="n">
        <v>46402</v>
      </c>
      <c r="V10" s="57">
        <f>IF(B10="","",IF(R10="Cut","Stop doing this task.",IF(R10="Score it","Answer all nine questions.",IF(AND(R10="Human",Q10&lt;&gt;"Y"),"Confirm it stays Human, or redesign it so it is easier to check and score again.",IF(AND(R10="Agent",S10&lt;&gt;"Y"),"Write the agent job description before it goes live.",IF(T10="","Name an owner.",IF(U10="","Set a review date.","Ready.")))))))</f>
        <v/>
      </c>
    </row>
    <row r="11" ht="22.35" customHeight="1" s="41">
      <c r="A11" s="57">
        <f>IF(Taxonomy!A11="","",Taxonomy!A11)</f>
        <v/>
      </c>
      <c r="B11" s="57">
        <f>IF(Taxonomy!E11="","",Taxonomy!E11)</f>
        <v/>
      </c>
      <c r="C11" s="58">
        <f>IF(Taxonomy!J11="","",Taxonomy!J11)</f>
        <v/>
      </c>
      <c r="D11" s="57">
        <f>IF(Taxonomy!S11="","",Taxonomy!S11)</f>
        <v/>
      </c>
      <c r="E11" s="59" t="inlineStr">
        <is>
          <t>A double booking means a reschedule</t>
        </is>
      </c>
      <c r="F11" s="60" t="inlineStr">
        <is>
          <t>N</t>
        </is>
      </c>
      <c r="G11" s="60" t="inlineStr">
        <is>
          <t>N</t>
        </is>
      </c>
      <c r="H11" s="60" t="inlineStr">
        <is>
          <t>N</t>
        </is>
      </c>
      <c r="I11" s="60" t="inlineStr">
        <is>
          <t>N</t>
        </is>
      </c>
      <c r="J11" s="60" t="inlineStr">
        <is>
          <t>N</t>
        </is>
      </c>
      <c r="K11" s="61">
        <f>IF(OR(B11="",D11="Cut"),"",IF(COUNTA(F11:J11)&lt;5,"Answer all 5",IF(COUNTIF(F11:J11,"Y")&gt;0,"High","Low")))</f>
        <v/>
      </c>
      <c r="L11" s="60" t="inlineStr">
        <is>
          <t>N</t>
        </is>
      </c>
      <c r="M11" s="60" t="inlineStr">
        <is>
          <t>N</t>
        </is>
      </c>
      <c r="N11" s="60" t="inlineStr">
        <is>
          <t>Y</t>
        </is>
      </c>
      <c r="O11" s="60" t="inlineStr">
        <is>
          <t>N</t>
        </is>
      </c>
      <c r="P11" s="61">
        <f>IF(OR(B11="",D11="Cut"),"",IF(COUNTA(L11:O11)&lt;4,"Answer all 4",IF(COUNTIF(L11:O11,"Y")&gt;0,"Hard","Easy")))</f>
        <v/>
      </c>
      <c r="Q11" s="60" t="inlineStr">
        <is>
          <t>N</t>
        </is>
      </c>
      <c r="R11" s="61">
        <f>IF(B11="","",IF(D11="Cut","Cut",IF(Q11="Y","Human",IF(OR(K11="Answer all 5",P11="Answer all 4"),"Score it",IF(K11="High",IF(P11="Hard","Human","Assist"),IF(P11="Hard","Agent","Automate"))))))</f>
        <v/>
      </c>
      <c r="S11" s="60" t="n"/>
      <c r="T11" s="59" t="inlineStr">
        <is>
          <t>Recruiting manager</t>
        </is>
      </c>
      <c r="U11" s="62" t="n">
        <v>46402</v>
      </c>
      <c r="V11" s="57">
        <f>IF(B11="","",IF(R11="Cut","Stop doing this task.",IF(R11="Score it","Answer all nine questions.",IF(AND(R11="Human",Q11&lt;&gt;"Y"),"Confirm it stays Human, or redesign it so it is easier to check and score again.",IF(AND(R11="Agent",S11&lt;&gt;"Y"),"Write the agent job description before it goes live.",IF(T11="","Name an owner.",IF(U11="","Set a review date.","Ready.")))))))</f>
        <v/>
      </c>
    </row>
    <row r="12" ht="22.35" customHeight="1" s="41">
      <c r="A12" s="57">
        <f>IF(Taxonomy!A12="","",Taxonomy!A12)</f>
        <v/>
      </c>
      <c r="B12" s="57">
        <f>IF(Taxonomy!E12="","",Taxonomy!E12)</f>
        <v/>
      </c>
      <c r="C12" s="58">
        <f>IF(Taxonomy!J12="","",Taxonomy!J12)</f>
        <v/>
      </c>
      <c r="D12" s="57">
        <f>IF(Taxonomy!S12="","",Taxonomy!S12)</f>
        <v/>
      </c>
      <c r="E12" s="59" t="inlineStr">
        <is>
          <t>A missed reminder causes a no-show</t>
        </is>
      </c>
      <c r="F12" s="60" t="inlineStr">
        <is>
          <t>N</t>
        </is>
      </c>
      <c r="G12" s="60" t="inlineStr">
        <is>
          <t>N</t>
        </is>
      </c>
      <c r="H12" s="60" t="inlineStr">
        <is>
          <t>N</t>
        </is>
      </c>
      <c r="I12" s="60" t="inlineStr">
        <is>
          <t>N</t>
        </is>
      </c>
      <c r="J12" s="60" t="inlineStr">
        <is>
          <t>N</t>
        </is>
      </c>
      <c r="K12" s="61">
        <f>IF(OR(B12="",D12="Cut"),"",IF(COUNTA(F12:J12)&lt;5,"Answer all 5",IF(COUNTIF(F12:J12,"Y")&gt;0,"High","Low")))</f>
        <v/>
      </c>
      <c r="L12" s="60" t="inlineStr">
        <is>
          <t>N</t>
        </is>
      </c>
      <c r="M12" s="60" t="inlineStr">
        <is>
          <t>N</t>
        </is>
      </c>
      <c r="N12" s="60" t="inlineStr">
        <is>
          <t>N</t>
        </is>
      </c>
      <c r="O12" s="60" t="inlineStr">
        <is>
          <t>N</t>
        </is>
      </c>
      <c r="P12" s="61">
        <f>IF(OR(B12="",D12="Cut"),"",IF(COUNTA(L12:O12)&lt;4,"Answer all 4",IF(COUNTIF(L12:O12,"Y")&gt;0,"Hard","Easy")))</f>
        <v/>
      </c>
      <c r="Q12" s="60" t="inlineStr">
        <is>
          <t>N</t>
        </is>
      </c>
      <c r="R12" s="61">
        <f>IF(B12="","",IF(D12="Cut","Cut",IF(Q12="Y","Human",IF(OR(K12="Answer all 5",P12="Answer all 4"),"Score it",IF(K12="High",IF(P12="Hard","Human","Assist"),IF(P12="Hard","Agent","Automate"))))))</f>
        <v/>
      </c>
      <c r="S12" s="60" t="n"/>
      <c r="T12" s="59" t="inlineStr">
        <is>
          <t>Recruiting manager</t>
        </is>
      </c>
      <c r="U12" s="62" t="n">
        <v>46402</v>
      </c>
      <c r="V12" s="57">
        <f>IF(B12="","",IF(R12="Cut","Stop doing this task.",IF(R12="Score it","Answer all nine questions.",IF(AND(R12="Human",Q12&lt;&gt;"Y"),"Confirm it stays Human, or redesign it so it is easier to check and score again.",IF(AND(R12="Agent",S12&lt;&gt;"Y"),"Write the agent job description before it goes live.",IF(T12="","Name an owner.",IF(U12="","Set a review date.","Ready.")))))))</f>
        <v/>
      </c>
    </row>
    <row r="13" ht="22.35" customHeight="1" s="41">
      <c r="A13" s="57">
        <f>IF(Taxonomy!A13="","",Taxonomy!A13)</f>
        <v/>
      </c>
      <c r="B13" s="57">
        <f>IF(Taxonomy!E13="","",Taxonomy!E13)</f>
        <v/>
      </c>
      <c r="C13" s="58">
        <f>IF(Taxonomy!J13="","",Taxonomy!J13)</f>
        <v/>
      </c>
      <c r="D13" s="57">
        <f>IF(Taxonomy!S13="","",Taxonomy!S13)</f>
        <v/>
      </c>
      <c r="E13" s="59" t="inlineStr">
        <is>
          <t>A summary leaves out a concern a panelist raised</t>
        </is>
      </c>
      <c r="F13" s="60" t="inlineStr">
        <is>
          <t>N</t>
        </is>
      </c>
      <c r="G13" s="60" t="inlineStr">
        <is>
          <t>N</t>
        </is>
      </c>
      <c r="H13" s="60" t="inlineStr">
        <is>
          <t>Y</t>
        </is>
      </c>
      <c r="I13" s="60" t="inlineStr">
        <is>
          <t>N</t>
        </is>
      </c>
      <c r="J13" s="60" t="inlineStr">
        <is>
          <t>N</t>
        </is>
      </c>
      <c r="K13" s="61">
        <f>IF(OR(B13="",D13="Cut"),"",IF(COUNTA(F13:J13)&lt;5,"Answer all 5",IF(COUNTIF(F13:J13,"Y")&gt;0,"High","Low")))</f>
        <v/>
      </c>
      <c r="L13" s="60" t="inlineStr">
        <is>
          <t>N</t>
        </is>
      </c>
      <c r="M13" s="60" t="inlineStr">
        <is>
          <t>N</t>
        </is>
      </c>
      <c r="N13" s="60" t="inlineStr">
        <is>
          <t>N</t>
        </is>
      </c>
      <c r="O13" s="60" t="inlineStr">
        <is>
          <t>N</t>
        </is>
      </c>
      <c r="P13" s="61">
        <f>IF(OR(B13="",D13="Cut"),"",IF(COUNTA(L13:O13)&lt;4,"Answer all 4",IF(COUNTIF(L13:O13,"Y")&gt;0,"Hard","Easy")))</f>
        <v/>
      </c>
      <c r="Q13" s="60" t="inlineStr">
        <is>
          <t>N</t>
        </is>
      </c>
      <c r="R13" s="61">
        <f>IF(B13="","",IF(D13="Cut","Cut",IF(Q13="Y","Human",IF(OR(K13="Answer all 5",P13="Answer all 4"),"Score it",IF(K13="High",IF(P13="Hard","Human","Assist"),IF(P13="Hard","Agent","Automate"))))))</f>
        <v/>
      </c>
      <c r="S13" s="60" t="n"/>
      <c r="T13" s="59" t="inlineStr">
        <is>
          <t>Recruiting manager</t>
        </is>
      </c>
      <c r="U13" s="62" t="n">
        <v>46402</v>
      </c>
      <c r="V13" s="57">
        <f>IF(B13="","",IF(R13="Cut","Stop doing this task.",IF(R13="Score it","Answer all nine questions.",IF(AND(R13="Human",Q13&lt;&gt;"Y"),"Confirm it stays Human, or redesign it so it is easier to check and score again.",IF(AND(R13="Agent",S13&lt;&gt;"Y"),"Write the agent job description before it goes live.",IF(T13="","Name an owner.",IF(U13="","Set a review date.","Ready.")))))))</f>
        <v/>
      </c>
    </row>
    <row r="14" ht="15" customHeight="1" s="41">
      <c r="A14" s="57">
        <f>IF(Taxonomy!A14="","",Taxonomy!A14)</f>
        <v/>
      </c>
      <c r="B14" s="57">
        <f>IF(Taxonomy!E14="","",Taxonomy!E14)</f>
        <v/>
      </c>
      <c r="C14" s="58">
        <f>IF(Taxonomy!J14="","",Taxonomy!J14)</f>
        <v/>
      </c>
      <c r="D14" s="57">
        <f>IF(Taxonomy!S14="","",Taxonomy!S14)</f>
        <v/>
      </c>
      <c r="E14" s="59" t="n"/>
      <c r="F14" s="60" t="n"/>
      <c r="G14" s="60" t="n"/>
      <c r="H14" s="60" t="n"/>
      <c r="I14" s="60" t="n"/>
      <c r="J14" s="60" t="n"/>
      <c r="K14" s="61">
        <f>IF(OR(B14="",D14="Cut"),"",IF(COUNTA(F14:J14)&lt;5,"Answer all 5",IF(COUNTIF(F14:J14,"Y")&gt;0,"High","Low")))</f>
        <v/>
      </c>
      <c r="L14" s="60" t="n"/>
      <c r="M14" s="60" t="n"/>
      <c r="N14" s="60" t="n"/>
      <c r="O14" s="60" t="n"/>
      <c r="P14" s="61">
        <f>IF(OR(B14="",D14="Cut"),"",IF(COUNTA(L14:O14)&lt;4,"Answer all 4",IF(COUNTIF(L14:O14,"Y")&gt;0,"Hard","Easy")))</f>
        <v/>
      </c>
      <c r="Q14" s="60" t="n"/>
      <c r="R14" s="61">
        <f>IF(B14="","",IF(D14="Cut","Cut",IF(Q14="Y","Human",IF(OR(K14="Answer all 5",P14="Answer all 4"),"Score it",IF(K14="High",IF(P14="Hard","Human","Assist"),IF(P14="Hard","Agent","Automate"))))))</f>
        <v/>
      </c>
      <c r="S14" s="60" t="n"/>
      <c r="T14" s="59" t="n"/>
      <c r="U14" s="62" t="n"/>
      <c r="V14" s="57">
        <f>IF(B14="","",IF(R14="Cut","Stop doing this task.",IF(R14="Score it","Answer all nine questions.",IF(AND(R14="Human",Q14&lt;&gt;"Y"),"Confirm it stays Human, or redesign it so it is easier to check and score again.",IF(AND(R14="Agent",S14&lt;&gt;"Y"),"Write the agent job description before it goes live.",IF(T14="","Name an owner.",IF(U14="","Set a review date.","Ready.")))))))</f>
        <v/>
      </c>
    </row>
    <row r="15" ht="22.35" customHeight="1" s="41">
      <c r="A15" s="57">
        <f>IF(Taxonomy!A15="","",Taxonomy!A15)</f>
        <v/>
      </c>
      <c r="B15" s="57">
        <f>IF(Taxonomy!E15="","",Taxonomy!E15)</f>
        <v/>
      </c>
      <c r="C15" s="58">
        <f>IF(Taxonomy!J15="","",Taxonomy!J15)</f>
        <v/>
      </c>
      <c r="D15" s="57">
        <f>IF(Taxonomy!S15="","",Taxonomy!S15)</f>
        <v/>
      </c>
      <c r="E15" s="59" t="inlineStr">
        <is>
          <t>The wrong person is hired</t>
        </is>
      </c>
      <c r="F15" s="60" t="inlineStr">
        <is>
          <t>Y</t>
        </is>
      </c>
      <c r="G15" s="60" t="inlineStr">
        <is>
          <t>Y</t>
        </is>
      </c>
      <c r="H15" s="60" t="inlineStr">
        <is>
          <t>Y</t>
        </is>
      </c>
      <c r="I15" s="60" t="inlineStr">
        <is>
          <t>Y</t>
        </is>
      </c>
      <c r="J15" s="60" t="inlineStr">
        <is>
          <t>Y</t>
        </is>
      </c>
      <c r="K15" s="61">
        <f>IF(OR(B15="",D15="Cut"),"",IF(COUNTA(F15:J15)&lt;5,"Answer all 5",IF(COUNTIF(F15:J15,"Y")&gt;0,"High","Low")))</f>
        <v/>
      </c>
      <c r="L15" s="60" t="inlineStr">
        <is>
          <t>N</t>
        </is>
      </c>
      <c r="M15" s="60" t="inlineStr">
        <is>
          <t>Y</t>
        </is>
      </c>
      <c r="N15" s="60" t="inlineStr">
        <is>
          <t>N</t>
        </is>
      </c>
      <c r="O15" s="60" t="inlineStr">
        <is>
          <t>Y</t>
        </is>
      </c>
      <c r="P15" s="61">
        <f>IF(OR(B15="",D15="Cut"),"",IF(COUNTA(L15:O15)&lt;4,"Answer all 4",IF(COUNTIF(L15:O15,"Y")&gt;0,"Hard","Easy")))</f>
        <v/>
      </c>
      <c r="Q15" s="60" t="inlineStr">
        <is>
          <t>N</t>
        </is>
      </c>
      <c r="R15" s="61">
        <f>IF(B15="","",IF(D15="Cut","Cut",IF(Q15="Y","Human",IF(OR(K15="Answer all 5",P15="Answer all 4"),"Score it",IF(K15="High",IF(P15="Hard","Human","Assist"),IF(P15="Hard","Agent","Automate"))))))</f>
        <v/>
      </c>
      <c r="S15" s="60" t="n"/>
      <c r="T15" s="59" t="inlineStr">
        <is>
          <t>Hiring manager</t>
        </is>
      </c>
      <c r="U15" s="62" t="n">
        <v>46402</v>
      </c>
      <c r="V15" s="57">
        <f>IF(B15="","",IF(R15="Cut","Stop doing this task.",IF(R15="Score it","Answer all nine questions.",IF(AND(R15="Human",Q15&lt;&gt;"Y"),"Confirm it stays Human, or redesign it so it is easier to check and score again.",IF(AND(R15="Agent",S15&lt;&gt;"Y"),"Write the agent job description before it goes live.",IF(T15="","Name an owner.",IF(U15="","Set a review date.","Ready.")))))))</f>
        <v/>
      </c>
    </row>
    <row r="16" ht="15" customHeight="1" s="41">
      <c r="A16" s="57">
        <f>IF(Taxonomy!A16="","",Taxonomy!A16)</f>
        <v/>
      </c>
      <c r="B16" s="57">
        <f>IF(Taxonomy!E16="","",Taxonomy!E16)</f>
        <v/>
      </c>
      <c r="C16" s="58">
        <f>IF(Taxonomy!J16="","",Taxonomy!J16)</f>
        <v/>
      </c>
      <c r="D16" s="57">
        <f>IF(Taxonomy!S16="","",Taxonomy!S16)</f>
        <v/>
      </c>
      <c r="E16" s="59" t="inlineStr">
        <is>
          <t>A wrong salary or start date goes out</t>
        </is>
      </c>
      <c r="F16" s="60" t="inlineStr">
        <is>
          <t>Y</t>
        </is>
      </c>
      <c r="G16" s="60" t="inlineStr">
        <is>
          <t>Y</t>
        </is>
      </c>
      <c r="H16" s="60" t="inlineStr">
        <is>
          <t>N</t>
        </is>
      </c>
      <c r="I16" s="60" t="inlineStr">
        <is>
          <t>N</t>
        </is>
      </c>
      <c r="J16" s="60" t="inlineStr">
        <is>
          <t>Y</t>
        </is>
      </c>
      <c r="K16" s="61">
        <f>IF(OR(B16="",D16="Cut"),"",IF(COUNTA(F16:J16)&lt;5,"Answer all 5",IF(COUNTIF(F16:J16,"Y")&gt;0,"High","Low")))</f>
        <v/>
      </c>
      <c r="L16" s="60" t="inlineStr">
        <is>
          <t>N</t>
        </is>
      </c>
      <c r="M16" s="60" t="inlineStr">
        <is>
          <t>N</t>
        </is>
      </c>
      <c r="N16" s="60" t="inlineStr">
        <is>
          <t>N</t>
        </is>
      </c>
      <c r="O16" s="60" t="inlineStr">
        <is>
          <t>N</t>
        </is>
      </c>
      <c r="P16" s="61">
        <f>IF(OR(B16="",D16="Cut"),"",IF(COUNTA(L16:O16)&lt;4,"Answer all 4",IF(COUNTIF(L16:O16,"Y")&gt;0,"Hard","Easy")))</f>
        <v/>
      </c>
      <c r="Q16" s="60" t="inlineStr">
        <is>
          <t>N</t>
        </is>
      </c>
      <c r="R16" s="61">
        <f>IF(B16="","",IF(D16="Cut","Cut",IF(Q16="Y","Human",IF(OR(K16="Answer all 5",P16="Answer all 4"),"Score it",IF(K16="High",IF(P16="Hard","Human","Assist"),IF(P16="Hard","Agent","Automate"))))))</f>
        <v/>
      </c>
      <c r="S16" s="60" t="n"/>
      <c r="T16" s="59" t="inlineStr">
        <is>
          <t>Recruiting manager</t>
        </is>
      </c>
      <c r="U16" s="62" t="n">
        <v>46402</v>
      </c>
      <c r="V16" s="57">
        <f>IF(B16="","",IF(R16="Cut","Stop doing this task.",IF(R16="Score it","Answer all nine questions.",IF(AND(R16="Human",Q16&lt;&gt;"Y"),"Confirm it stays Human, or redesign it so it is easier to check and score again.",IF(AND(R16="Agent",S16&lt;&gt;"Y"),"Write the agent job description before it goes live.",IF(T16="","Name an owner.",IF(U16="","Set a review date.","Ready.")))))))</f>
        <v/>
      </c>
    </row>
    <row r="17" ht="15" customHeight="1" s="41">
      <c r="A17" s="57">
        <f>IF(Taxonomy!A17="","",Taxonomy!A17)</f>
        <v/>
      </c>
      <c r="B17" s="57">
        <f>IF(Taxonomy!E17="","",Taxonomy!E17)</f>
        <v/>
      </c>
      <c r="C17" s="58">
        <f>IF(Taxonomy!J17="","",Taxonomy!J17)</f>
        <v/>
      </c>
      <c r="D17" s="57">
        <f>IF(Taxonomy!S17="","",Taxonomy!S17)</f>
        <v/>
      </c>
      <c r="E17" s="59" t="n"/>
      <c r="F17" s="60" t="n"/>
      <c r="G17" s="60" t="n"/>
      <c r="H17" s="60" t="n"/>
      <c r="I17" s="60" t="n"/>
      <c r="J17" s="60" t="n"/>
      <c r="K17" s="61">
        <f>IF(OR(B17="",D17="Cut"),"",IF(COUNTA(F17:J17)&lt;5,"Answer all 5",IF(COUNTIF(F17:J17,"Y")&gt;0,"High","Low")))</f>
        <v/>
      </c>
      <c r="L17" s="60" t="n"/>
      <c r="M17" s="60" t="n"/>
      <c r="N17" s="60" t="n"/>
      <c r="O17" s="60" t="n"/>
      <c r="P17" s="61">
        <f>IF(OR(B17="",D17="Cut"),"",IF(COUNTA(L17:O17)&lt;4,"Answer all 4",IF(COUNTIF(L17:O17,"Y")&gt;0,"Hard","Easy")))</f>
        <v/>
      </c>
      <c r="Q17" s="60" t="n"/>
      <c r="R17" s="61">
        <f>IF(B17="","",IF(D17="Cut","Cut",IF(Q17="Y","Human",IF(OR(K17="Answer all 5",P17="Answer all 4"),"Score it",IF(K17="High",IF(P17="Hard","Human","Assist"),IF(P17="Hard","Agent","Automate"))))))</f>
        <v/>
      </c>
      <c r="S17" s="60" t="n"/>
      <c r="T17" s="59" t="n"/>
      <c r="U17" s="62" t="n"/>
      <c r="V17" s="57">
        <f>IF(B17="","",IF(R17="Cut","Stop doing this task.",IF(R17="Score it","Answer all nine questions.",IF(AND(R17="Human",Q17&lt;&gt;"Y"),"Confirm it stays Human, or redesign it so it is easier to check and score again.",IF(AND(R17="Agent",S17&lt;&gt;"Y"),"Write the agent job description before it goes live.",IF(T17="","Name an owner.",IF(U17="","Set a review date.","Ready.")))))))</f>
        <v/>
      </c>
    </row>
    <row r="18" ht="15" customHeight="1" s="41">
      <c r="A18" s="57">
        <f>IF(Taxonomy!A18="","",Taxonomy!A18)</f>
        <v/>
      </c>
      <c r="B18" s="57">
        <f>IF(Taxonomy!E18="","",Taxonomy!E18)</f>
        <v/>
      </c>
      <c r="C18" s="58">
        <f>IF(Taxonomy!J18="","",Taxonomy!J18)</f>
        <v/>
      </c>
      <c r="D18" s="57">
        <f>IF(Taxonomy!S18="","",Taxonomy!S18)</f>
        <v/>
      </c>
      <c r="E18" s="59" t="n"/>
      <c r="F18" s="60" t="n"/>
      <c r="G18" s="60" t="n"/>
      <c r="H18" s="60" t="n"/>
      <c r="I18" s="60" t="n"/>
      <c r="J18" s="60" t="n"/>
      <c r="K18" s="61">
        <f>IF(OR(B18="",D18="Cut"),"",IF(COUNTA(F18:J18)&lt;5,"Answer all 5",IF(COUNTIF(F18:J18,"Y")&gt;0,"High","Low")))</f>
        <v/>
      </c>
      <c r="L18" s="60" t="n"/>
      <c r="M18" s="60" t="n"/>
      <c r="N18" s="60" t="n"/>
      <c r="O18" s="60" t="n"/>
      <c r="P18" s="61">
        <f>IF(OR(B18="",D18="Cut"),"",IF(COUNTA(L18:O18)&lt;4,"Answer all 4",IF(COUNTIF(L18:O18,"Y")&gt;0,"Hard","Easy")))</f>
        <v/>
      </c>
      <c r="Q18" s="60" t="n"/>
      <c r="R18" s="61">
        <f>IF(B18="","",IF(D18="Cut","Cut",IF(Q18="Y","Human",IF(OR(K18="Answer all 5",P18="Answer all 4"),"Score it",IF(K18="High",IF(P18="Hard","Human","Assist"),IF(P18="Hard","Agent","Automate"))))))</f>
        <v/>
      </c>
      <c r="S18" s="60" t="n"/>
      <c r="T18" s="59" t="n"/>
      <c r="U18" s="62" t="n"/>
      <c r="V18" s="57">
        <f>IF(B18="","",IF(R18="Cut","Stop doing this task.",IF(R18="Score it","Answer all nine questions.",IF(AND(R18="Human",Q18&lt;&gt;"Y"),"Confirm it stays Human, or redesign it so it is easier to check and score again.",IF(AND(R18="Agent",S18&lt;&gt;"Y"),"Write the agent job description before it goes live.",IF(T18="","Name an owner.",IF(U18="","Set a review date.","Ready.")))))))</f>
        <v/>
      </c>
    </row>
    <row r="19" ht="15" customHeight="1" s="41">
      <c r="A19" s="57">
        <f>IF(Taxonomy!A19="","",Taxonomy!A19)</f>
        <v/>
      </c>
      <c r="B19" s="57">
        <f>IF(Taxonomy!E19="","",Taxonomy!E19)</f>
        <v/>
      </c>
      <c r="C19" s="58">
        <f>IF(Taxonomy!J19="","",Taxonomy!J19)</f>
        <v/>
      </c>
      <c r="D19" s="57">
        <f>IF(Taxonomy!S19="","",Taxonomy!S19)</f>
        <v/>
      </c>
      <c r="E19" s="59" t="n"/>
      <c r="F19" s="60" t="n"/>
      <c r="G19" s="60" t="n"/>
      <c r="H19" s="60" t="n"/>
      <c r="I19" s="60" t="n"/>
      <c r="J19" s="60" t="n"/>
      <c r="K19" s="61">
        <f>IF(OR(B19="",D19="Cut"),"",IF(COUNTA(F19:J19)&lt;5,"Answer all 5",IF(COUNTIF(F19:J19,"Y")&gt;0,"High","Low")))</f>
        <v/>
      </c>
      <c r="L19" s="60" t="n"/>
      <c r="M19" s="60" t="n"/>
      <c r="N19" s="60" t="n"/>
      <c r="O19" s="60" t="n"/>
      <c r="P19" s="61">
        <f>IF(OR(B19="",D19="Cut"),"",IF(COUNTA(L19:O19)&lt;4,"Answer all 4",IF(COUNTIF(L19:O19,"Y")&gt;0,"Hard","Easy")))</f>
        <v/>
      </c>
      <c r="Q19" s="60" t="n"/>
      <c r="R19" s="61">
        <f>IF(B19="","",IF(D19="Cut","Cut",IF(Q19="Y","Human",IF(OR(K19="Answer all 5",P19="Answer all 4"),"Score it",IF(K19="High",IF(P19="Hard","Human","Assist"),IF(P19="Hard","Agent","Automate"))))))</f>
        <v/>
      </c>
      <c r="S19" s="60" t="n"/>
      <c r="T19" s="59" t="n"/>
      <c r="U19" s="62" t="n"/>
      <c r="V19" s="57">
        <f>IF(B19="","",IF(R19="Cut","Stop doing this task.",IF(R19="Score it","Answer all nine questions.",IF(AND(R19="Human",Q19&lt;&gt;"Y"),"Confirm it stays Human, or redesign it so it is easier to check and score again.",IF(AND(R19="Agent",S19&lt;&gt;"Y"),"Write the agent job description before it goes live.",IF(T19="","Name an owner.",IF(U19="","Set a review date.","Ready.")))))))</f>
        <v/>
      </c>
    </row>
    <row r="20" ht="15" customHeight="1" s="41">
      <c r="A20" s="57">
        <f>IF(Taxonomy!A20="","",Taxonomy!A20)</f>
        <v/>
      </c>
      <c r="B20" s="57">
        <f>IF(Taxonomy!E20="","",Taxonomy!E20)</f>
        <v/>
      </c>
      <c r="C20" s="58">
        <f>IF(Taxonomy!J20="","",Taxonomy!J20)</f>
        <v/>
      </c>
      <c r="D20" s="57">
        <f>IF(Taxonomy!S20="","",Taxonomy!S20)</f>
        <v/>
      </c>
      <c r="E20" s="59" t="n"/>
      <c r="F20" s="60" t="n"/>
      <c r="G20" s="60" t="n"/>
      <c r="H20" s="60" t="n"/>
      <c r="I20" s="60" t="n"/>
      <c r="J20" s="60" t="n"/>
      <c r="K20" s="61">
        <f>IF(OR(B20="",D20="Cut"),"",IF(COUNTA(F20:J20)&lt;5,"Answer all 5",IF(COUNTIF(F20:J20,"Y")&gt;0,"High","Low")))</f>
        <v/>
      </c>
      <c r="L20" s="60" t="n"/>
      <c r="M20" s="60" t="n"/>
      <c r="N20" s="60" t="n"/>
      <c r="O20" s="60" t="n"/>
      <c r="P20" s="61">
        <f>IF(OR(B20="",D20="Cut"),"",IF(COUNTA(L20:O20)&lt;4,"Answer all 4",IF(COUNTIF(L20:O20,"Y")&gt;0,"Hard","Easy")))</f>
        <v/>
      </c>
      <c r="Q20" s="60" t="n"/>
      <c r="R20" s="61">
        <f>IF(B20="","",IF(D20="Cut","Cut",IF(Q20="Y","Human",IF(OR(K20="Answer all 5",P20="Answer all 4"),"Score it",IF(K20="High",IF(P20="Hard","Human","Assist"),IF(P20="Hard","Agent","Automate"))))))</f>
        <v/>
      </c>
      <c r="S20" s="60" t="n"/>
      <c r="T20" s="59" t="n"/>
      <c r="U20" s="62" t="n"/>
      <c r="V20" s="57">
        <f>IF(B20="","",IF(R20="Cut","Stop doing this task.",IF(R20="Score it","Answer all nine questions.",IF(AND(R20="Human",Q20&lt;&gt;"Y"),"Confirm it stays Human, or redesign it so it is easier to check and score again.",IF(AND(R20="Agent",S20&lt;&gt;"Y"),"Write the agent job description before it goes live.",IF(T20="","Name an owner.",IF(U20="","Set a review date.","Ready.")))))))</f>
        <v/>
      </c>
    </row>
    <row r="21" ht="15" customHeight="1" s="41">
      <c r="A21" s="57">
        <f>IF(Taxonomy!A21="","",Taxonomy!A21)</f>
        <v/>
      </c>
      <c r="B21" s="57">
        <f>IF(Taxonomy!E21="","",Taxonomy!E21)</f>
        <v/>
      </c>
      <c r="C21" s="58">
        <f>IF(Taxonomy!J21="","",Taxonomy!J21)</f>
        <v/>
      </c>
      <c r="D21" s="57">
        <f>IF(Taxonomy!S21="","",Taxonomy!S21)</f>
        <v/>
      </c>
      <c r="E21" s="59" t="n"/>
      <c r="F21" s="60" t="n"/>
      <c r="G21" s="60" t="n"/>
      <c r="H21" s="60" t="n"/>
      <c r="I21" s="60" t="n"/>
      <c r="J21" s="60" t="n"/>
      <c r="K21" s="61">
        <f>IF(OR(B21="",D21="Cut"),"",IF(COUNTA(F21:J21)&lt;5,"Answer all 5",IF(COUNTIF(F21:J21,"Y")&gt;0,"High","Low")))</f>
        <v/>
      </c>
      <c r="L21" s="60" t="n"/>
      <c r="M21" s="60" t="n"/>
      <c r="N21" s="60" t="n"/>
      <c r="O21" s="60" t="n"/>
      <c r="P21" s="61">
        <f>IF(OR(B21="",D21="Cut"),"",IF(COUNTA(L21:O21)&lt;4,"Answer all 4",IF(COUNTIF(L21:O21,"Y")&gt;0,"Hard","Easy")))</f>
        <v/>
      </c>
      <c r="Q21" s="60" t="n"/>
      <c r="R21" s="61">
        <f>IF(B21="","",IF(D21="Cut","Cut",IF(Q21="Y","Human",IF(OR(K21="Answer all 5",P21="Answer all 4"),"Score it",IF(K21="High",IF(P21="Hard","Human","Assist"),IF(P21="Hard","Agent","Automate"))))))</f>
        <v/>
      </c>
      <c r="S21" s="60" t="n"/>
      <c r="T21" s="59" t="n"/>
      <c r="U21" s="62" t="n"/>
      <c r="V21" s="57">
        <f>IF(B21="","",IF(R21="Cut","Stop doing this task.",IF(R21="Score it","Answer all nine questions.",IF(AND(R21="Human",Q21&lt;&gt;"Y"),"Confirm it stays Human, or redesign it so it is easier to check and score again.",IF(AND(R21="Agent",S21&lt;&gt;"Y"),"Write the agent job description before it goes live.",IF(T21="","Name an owner.",IF(U21="","Set a review date.","Ready.")))))))</f>
        <v/>
      </c>
    </row>
    <row r="22" ht="15" customHeight="1" s="41">
      <c r="A22" s="57">
        <f>IF(Taxonomy!A22="","",Taxonomy!A22)</f>
        <v/>
      </c>
      <c r="B22" s="57">
        <f>IF(Taxonomy!E22="","",Taxonomy!E22)</f>
        <v/>
      </c>
      <c r="C22" s="58">
        <f>IF(Taxonomy!J22="","",Taxonomy!J22)</f>
        <v/>
      </c>
      <c r="D22" s="57">
        <f>IF(Taxonomy!S22="","",Taxonomy!S22)</f>
        <v/>
      </c>
      <c r="E22" s="59" t="n"/>
      <c r="F22" s="60" t="n"/>
      <c r="G22" s="60" t="n"/>
      <c r="H22" s="60" t="n"/>
      <c r="I22" s="60" t="n"/>
      <c r="J22" s="60" t="n"/>
      <c r="K22" s="61">
        <f>IF(OR(B22="",D22="Cut"),"",IF(COUNTA(F22:J22)&lt;5,"Answer all 5",IF(COUNTIF(F22:J22,"Y")&gt;0,"High","Low")))</f>
        <v/>
      </c>
      <c r="L22" s="60" t="n"/>
      <c r="M22" s="60" t="n"/>
      <c r="N22" s="60" t="n"/>
      <c r="O22" s="60" t="n"/>
      <c r="P22" s="61">
        <f>IF(OR(B22="",D22="Cut"),"",IF(COUNTA(L22:O22)&lt;4,"Answer all 4",IF(COUNTIF(L22:O22,"Y")&gt;0,"Hard","Easy")))</f>
        <v/>
      </c>
      <c r="Q22" s="60" t="n"/>
      <c r="R22" s="61">
        <f>IF(B22="","",IF(D22="Cut","Cut",IF(Q22="Y","Human",IF(OR(K22="Answer all 5",P22="Answer all 4"),"Score it",IF(K22="High",IF(P22="Hard","Human","Assist"),IF(P22="Hard","Agent","Automate"))))))</f>
        <v/>
      </c>
      <c r="S22" s="60" t="n"/>
      <c r="T22" s="59" t="n"/>
      <c r="U22" s="62" t="n"/>
      <c r="V22" s="57">
        <f>IF(B22="","",IF(R22="Cut","Stop doing this task.",IF(R22="Score it","Answer all nine questions.",IF(AND(R22="Human",Q22&lt;&gt;"Y"),"Confirm it stays Human, or redesign it so it is easier to check and score again.",IF(AND(R22="Agent",S22&lt;&gt;"Y"),"Write the agent job description before it goes live.",IF(T22="","Name an owner.",IF(U22="","Set a review date.","Ready.")))))))</f>
        <v/>
      </c>
    </row>
    <row r="23" ht="15" customHeight="1" s="41">
      <c r="A23" s="57">
        <f>IF(Taxonomy!A23="","",Taxonomy!A23)</f>
        <v/>
      </c>
      <c r="B23" s="57">
        <f>IF(Taxonomy!E23="","",Taxonomy!E23)</f>
        <v/>
      </c>
      <c r="C23" s="58">
        <f>IF(Taxonomy!J23="","",Taxonomy!J23)</f>
        <v/>
      </c>
      <c r="D23" s="57">
        <f>IF(Taxonomy!S23="","",Taxonomy!S23)</f>
        <v/>
      </c>
      <c r="E23" s="59" t="n"/>
      <c r="F23" s="60" t="n"/>
      <c r="G23" s="60" t="n"/>
      <c r="H23" s="60" t="n"/>
      <c r="I23" s="60" t="n"/>
      <c r="J23" s="60" t="n"/>
      <c r="K23" s="61">
        <f>IF(OR(B23="",D23="Cut"),"",IF(COUNTA(F23:J23)&lt;5,"Answer all 5",IF(COUNTIF(F23:J23,"Y")&gt;0,"High","Low")))</f>
        <v/>
      </c>
      <c r="L23" s="60" t="n"/>
      <c r="M23" s="60" t="n"/>
      <c r="N23" s="60" t="n"/>
      <c r="O23" s="60" t="n"/>
      <c r="P23" s="61">
        <f>IF(OR(B23="",D23="Cut"),"",IF(COUNTA(L23:O23)&lt;4,"Answer all 4",IF(COUNTIF(L23:O23,"Y")&gt;0,"Hard","Easy")))</f>
        <v/>
      </c>
      <c r="Q23" s="60" t="n"/>
      <c r="R23" s="61">
        <f>IF(B23="","",IF(D23="Cut","Cut",IF(Q23="Y","Human",IF(OR(K23="Answer all 5",P23="Answer all 4"),"Score it",IF(K23="High",IF(P23="Hard","Human","Assist"),IF(P23="Hard","Agent","Automate"))))))</f>
        <v/>
      </c>
      <c r="S23" s="60" t="n"/>
      <c r="T23" s="59" t="n"/>
      <c r="U23" s="62" t="n"/>
      <c r="V23" s="57">
        <f>IF(B23="","",IF(R23="Cut","Stop doing this task.",IF(R23="Score it","Answer all nine questions.",IF(AND(R23="Human",Q23&lt;&gt;"Y"),"Confirm it stays Human, or redesign it so it is easier to check and score again.",IF(AND(R23="Agent",S23&lt;&gt;"Y"),"Write the agent job description before it goes live.",IF(T23="","Name an owner.",IF(U23="","Set a review date.","Ready.")))))))</f>
        <v/>
      </c>
    </row>
    <row r="24" ht="15" customHeight="1" s="41">
      <c r="A24" s="57">
        <f>IF(Taxonomy!A24="","",Taxonomy!A24)</f>
        <v/>
      </c>
      <c r="B24" s="57">
        <f>IF(Taxonomy!E24="","",Taxonomy!E24)</f>
        <v/>
      </c>
      <c r="C24" s="58">
        <f>IF(Taxonomy!J24="","",Taxonomy!J24)</f>
        <v/>
      </c>
      <c r="D24" s="57">
        <f>IF(Taxonomy!S24="","",Taxonomy!S24)</f>
        <v/>
      </c>
      <c r="E24" s="59" t="n"/>
      <c r="F24" s="60" t="n"/>
      <c r="G24" s="60" t="n"/>
      <c r="H24" s="60" t="n"/>
      <c r="I24" s="60" t="n"/>
      <c r="J24" s="60" t="n"/>
      <c r="K24" s="61">
        <f>IF(OR(B24="",D24="Cut"),"",IF(COUNTA(F24:J24)&lt;5,"Answer all 5",IF(COUNTIF(F24:J24,"Y")&gt;0,"High","Low")))</f>
        <v/>
      </c>
      <c r="L24" s="60" t="n"/>
      <c r="M24" s="60" t="n"/>
      <c r="N24" s="60" t="n"/>
      <c r="O24" s="60" t="n"/>
      <c r="P24" s="61">
        <f>IF(OR(B24="",D24="Cut"),"",IF(COUNTA(L24:O24)&lt;4,"Answer all 4",IF(COUNTIF(L24:O24,"Y")&gt;0,"Hard","Easy")))</f>
        <v/>
      </c>
      <c r="Q24" s="60" t="n"/>
      <c r="R24" s="61">
        <f>IF(B24="","",IF(D24="Cut","Cut",IF(Q24="Y","Human",IF(OR(K24="Answer all 5",P24="Answer all 4"),"Score it",IF(K24="High",IF(P24="Hard","Human","Assist"),IF(P24="Hard","Agent","Automate"))))))</f>
        <v/>
      </c>
      <c r="S24" s="60" t="n"/>
      <c r="T24" s="59" t="n"/>
      <c r="U24" s="62" t="n"/>
      <c r="V24" s="57">
        <f>IF(B24="","",IF(R24="Cut","Stop doing this task.",IF(R24="Score it","Answer all nine questions.",IF(AND(R24="Human",Q24&lt;&gt;"Y"),"Confirm it stays Human, or redesign it so it is easier to check and score again.",IF(AND(R24="Agent",S24&lt;&gt;"Y"),"Write the agent job description before it goes live.",IF(T24="","Name an owner.",IF(U24="","Set a review date.","Ready.")))))))</f>
        <v/>
      </c>
    </row>
    <row r="25" ht="15" customHeight="1" s="41">
      <c r="A25" s="57">
        <f>IF(Taxonomy!A25="","",Taxonomy!A25)</f>
        <v/>
      </c>
      <c r="B25" s="57">
        <f>IF(Taxonomy!E25="","",Taxonomy!E25)</f>
        <v/>
      </c>
      <c r="C25" s="58">
        <f>IF(Taxonomy!J25="","",Taxonomy!J25)</f>
        <v/>
      </c>
      <c r="D25" s="57">
        <f>IF(Taxonomy!S25="","",Taxonomy!S25)</f>
        <v/>
      </c>
      <c r="E25" s="59" t="n"/>
      <c r="F25" s="60" t="n"/>
      <c r="G25" s="60" t="n"/>
      <c r="H25" s="60" t="n"/>
      <c r="I25" s="60" t="n"/>
      <c r="J25" s="60" t="n"/>
      <c r="K25" s="61">
        <f>IF(OR(B25="",D25="Cut"),"",IF(COUNTA(F25:J25)&lt;5,"Answer all 5",IF(COUNTIF(F25:J25,"Y")&gt;0,"High","Low")))</f>
        <v/>
      </c>
      <c r="L25" s="60" t="n"/>
      <c r="M25" s="60" t="n"/>
      <c r="N25" s="60" t="n"/>
      <c r="O25" s="60" t="n"/>
      <c r="P25" s="61">
        <f>IF(OR(B25="",D25="Cut"),"",IF(COUNTA(L25:O25)&lt;4,"Answer all 4",IF(COUNTIF(L25:O25,"Y")&gt;0,"Hard","Easy")))</f>
        <v/>
      </c>
      <c r="Q25" s="60" t="n"/>
      <c r="R25" s="61">
        <f>IF(B25="","",IF(D25="Cut","Cut",IF(Q25="Y","Human",IF(OR(K25="Answer all 5",P25="Answer all 4"),"Score it",IF(K25="High",IF(P25="Hard","Human","Assist"),IF(P25="Hard","Agent","Automate"))))))</f>
        <v/>
      </c>
      <c r="S25" s="60" t="n"/>
      <c r="T25" s="59" t="n"/>
      <c r="U25" s="62" t="n"/>
      <c r="V25" s="57">
        <f>IF(B25="","",IF(R25="Cut","Stop doing this task.",IF(R25="Score it","Answer all nine questions.",IF(AND(R25="Human",Q25&lt;&gt;"Y"),"Confirm it stays Human, or redesign it so it is easier to check and score again.",IF(AND(R25="Agent",S25&lt;&gt;"Y"),"Write the agent job description before it goes live.",IF(T25="","Name an owner.",IF(U25="","Set a review date.","Ready.")))))))</f>
        <v/>
      </c>
    </row>
    <row r="26" ht="15" customHeight="1" s="41">
      <c r="A26" s="57">
        <f>IF(Taxonomy!A26="","",Taxonomy!A26)</f>
        <v/>
      </c>
      <c r="B26" s="57">
        <f>IF(Taxonomy!E26="","",Taxonomy!E26)</f>
        <v/>
      </c>
      <c r="C26" s="58">
        <f>IF(Taxonomy!J26="","",Taxonomy!J26)</f>
        <v/>
      </c>
      <c r="D26" s="57">
        <f>IF(Taxonomy!S26="","",Taxonomy!S26)</f>
        <v/>
      </c>
      <c r="E26" s="59" t="n"/>
      <c r="F26" s="60" t="n"/>
      <c r="G26" s="60" t="n"/>
      <c r="H26" s="60" t="n"/>
      <c r="I26" s="60" t="n"/>
      <c r="J26" s="60" t="n"/>
      <c r="K26" s="61">
        <f>IF(OR(B26="",D26="Cut"),"",IF(COUNTA(F26:J26)&lt;5,"Answer all 5",IF(COUNTIF(F26:J26,"Y")&gt;0,"High","Low")))</f>
        <v/>
      </c>
      <c r="L26" s="60" t="n"/>
      <c r="M26" s="60" t="n"/>
      <c r="N26" s="60" t="n"/>
      <c r="O26" s="60" t="n"/>
      <c r="P26" s="61">
        <f>IF(OR(B26="",D26="Cut"),"",IF(COUNTA(L26:O26)&lt;4,"Answer all 4",IF(COUNTIF(L26:O26,"Y")&gt;0,"Hard","Easy")))</f>
        <v/>
      </c>
      <c r="Q26" s="60" t="n"/>
      <c r="R26" s="61">
        <f>IF(B26="","",IF(D26="Cut","Cut",IF(Q26="Y","Human",IF(OR(K26="Answer all 5",P26="Answer all 4"),"Score it",IF(K26="High",IF(P26="Hard","Human","Assist"),IF(P26="Hard","Agent","Automate"))))))</f>
        <v/>
      </c>
      <c r="S26" s="60" t="n"/>
      <c r="T26" s="59" t="n"/>
      <c r="U26" s="62" t="n"/>
      <c r="V26" s="57">
        <f>IF(B26="","",IF(R26="Cut","Stop doing this task.",IF(R26="Score it","Answer all nine questions.",IF(AND(R26="Human",Q26&lt;&gt;"Y"),"Confirm it stays Human, or redesign it so it is easier to check and score again.",IF(AND(R26="Agent",S26&lt;&gt;"Y"),"Write the agent job description before it goes live.",IF(T26="","Name an owner.",IF(U26="","Set a review date.","Ready.")))))))</f>
        <v/>
      </c>
    </row>
    <row r="27" ht="15" customHeight="1" s="41">
      <c r="A27" s="57">
        <f>IF(Taxonomy!A27="","",Taxonomy!A27)</f>
        <v/>
      </c>
      <c r="B27" s="57">
        <f>IF(Taxonomy!E27="","",Taxonomy!E27)</f>
        <v/>
      </c>
      <c r="C27" s="58">
        <f>IF(Taxonomy!J27="","",Taxonomy!J27)</f>
        <v/>
      </c>
      <c r="D27" s="57">
        <f>IF(Taxonomy!S27="","",Taxonomy!S27)</f>
        <v/>
      </c>
      <c r="E27" s="59" t="n"/>
      <c r="F27" s="60" t="n"/>
      <c r="G27" s="60" t="n"/>
      <c r="H27" s="60" t="n"/>
      <c r="I27" s="60" t="n"/>
      <c r="J27" s="60" t="n"/>
      <c r="K27" s="61">
        <f>IF(OR(B27="",D27="Cut"),"",IF(COUNTA(F27:J27)&lt;5,"Answer all 5",IF(COUNTIF(F27:J27,"Y")&gt;0,"High","Low")))</f>
        <v/>
      </c>
      <c r="L27" s="60" t="n"/>
      <c r="M27" s="60" t="n"/>
      <c r="N27" s="60" t="n"/>
      <c r="O27" s="60" t="n"/>
      <c r="P27" s="61">
        <f>IF(OR(B27="",D27="Cut"),"",IF(COUNTA(L27:O27)&lt;4,"Answer all 4",IF(COUNTIF(L27:O27,"Y")&gt;0,"Hard","Easy")))</f>
        <v/>
      </c>
      <c r="Q27" s="60" t="n"/>
      <c r="R27" s="61">
        <f>IF(B27="","",IF(D27="Cut","Cut",IF(Q27="Y","Human",IF(OR(K27="Answer all 5",P27="Answer all 4"),"Score it",IF(K27="High",IF(P27="Hard","Human","Assist"),IF(P27="Hard","Agent","Automate"))))))</f>
        <v/>
      </c>
      <c r="S27" s="60" t="n"/>
      <c r="T27" s="59" t="n"/>
      <c r="U27" s="62" t="n"/>
      <c r="V27" s="57">
        <f>IF(B27="","",IF(R27="Cut","Stop doing this task.",IF(R27="Score it","Answer all nine questions.",IF(AND(R27="Human",Q27&lt;&gt;"Y"),"Confirm it stays Human, or redesign it so it is easier to check and score again.",IF(AND(R27="Agent",S27&lt;&gt;"Y"),"Write the agent job description before it goes live.",IF(T27="","Name an owner.",IF(U27="","Set a review date.","Ready.")))))))</f>
        <v/>
      </c>
    </row>
    <row r="28" ht="15" customHeight="1" s="41">
      <c r="A28" s="57">
        <f>IF(Taxonomy!A28="","",Taxonomy!A28)</f>
        <v/>
      </c>
      <c r="B28" s="57">
        <f>IF(Taxonomy!E28="","",Taxonomy!E28)</f>
        <v/>
      </c>
      <c r="C28" s="58">
        <f>IF(Taxonomy!J28="","",Taxonomy!J28)</f>
        <v/>
      </c>
      <c r="D28" s="57">
        <f>IF(Taxonomy!S28="","",Taxonomy!S28)</f>
        <v/>
      </c>
      <c r="E28" s="59" t="n"/>
      <c r="F28" s="60" t="n"/>
      <c r="G28" s="60" t="n"/>
      <c r="H28" s="60" t="n"/>
      <c r="I28" s="60" t="n"/>
      <c r="J28" s="60" t="n"/>
      <c r="K28" s="61">
        <f>IF(OR(B28="",D28="Cut"),"",IF(COUNTA(F28:J28)&lt;5,"Answer all 5",IF(COUNTIF(F28:J28,"Y")&gt;0,"High","Low")))</f>
        <v/>
      </c>
      <c r="L28" s="60" t="n"/>
      <c r="M28" s="60" t="n"/>
      <c r="N28" s="60" t="n"/>
      <c r="O28" s="60" t="n"/>
      <c r="P28" s="61">
        <f>IF(OR(B28="",D28="Cut"),"",IF(COUNTA(L28:O28)&lt;4,"Answer all 4",IF(COUNTIF(L28:O28,"Y")&gt;0,"Hard","Easy")))</f>
        <v/>
      </c>
      <c r="Q28" s="60" t="n"/>
      <c r="R28" s="61">
        <f>IF(B28="","",IF(D28="Cut","Cut",IF(Q28="Y","Human",IF(OR(K28="Answer all 5",P28="Answer all 4"),"Score it",IF(K28="High",IF(P28="Hard","Human","Assist"),IF(P28="Hard","Agent","Automate"))))))</f>
        <v/>
      </c>
      <c r="S28" s="60" t="n"/>
      <c r="T28" s="59" t="n"/>
      <c r="U28" s="62" t="n"/>
      <c r="V28" s="57">
        <f>IF(B28="","",IF(R28="Cut","Stop doing this task.",IF(R28="Score it","Answer all nine questions.",IF(AND(R28="Human",Q28&lt;&gt;"Y"),"Confirm it stays Human, or redesign it so it is easier to check and score again.",IF(AND(R28="Agent",S28&lt;&gt;"Y"),"Write the agent job description before it goes live.",IF(T28="","Name an owner.",IF(U28="","Set a review date.","Ready.")))))))</f>
        <v/>
      </c>
    </row>
    <row r="29" ht="15" customHeight="1" s="41">
      <c r="A29" s="57">
        <f>IF(Taxonomy!A29="","",Taxonomy!A29)</f>
        <v/>
      </c>
      <c r="B29" s="57">
        <f>IF(Taxonomy!E29="","",Taxonomy!E29)</f>
        <v/>
      </c>
      <c r="C29" s="58">
        <f>IF(Taxonomy!J29="","",Taxonomy!J29)</f>
        <v/>
      </c>
      <c r="D29" s="57">
        <f>IF(Taxonomy!S29="","",Taxonomy!S29)</f>
        <v/>
      </c>
      <c r="E29" s="59" t="n"/>
      <c r="F29" s="60" t="n"/>
      <c r="G29" s="60" t="n"/>
      <c r="H29" s="60" t="n"/>
      <c r="I29" s="60" t="n"/>
      <c r="J29" s="60" t="n"/>
      <c r="K29" s="61">
        <f>IF(OR(B29="",D29="Cut"),"",IF(COUNTA(F29:J29)&lt;5,"Answer all 5",IF(COUNTIF(F29:J29,"Y")&gt;0,"High","Low")))</f>
        <v/>
      </c>
      <c r="L29" s="60" t="n"/>
      <c r="M29" s="60" t="n"/>
      <c r="N29" s="60" t="n"/>
      <c r="O29" s="60" t="n"/>
      <c r="P29" s="61">
        <f>IF(OR(B29="",D29="Cut"),"",IF(COUNTA(L29:O29)&lt;4,"Answer all 4",IF(COUNTIF(L29:O29,"Y")&gt;0,"Hard","Easy")))</f>
        <v/>
      </c>
      <c r="Q29" s="60" t="n"/>
      <c r="R29" s="61">
        <f>IF(B29="","",IF(D29="Cut","Cut",IF(Q29="Y","Human",IF(OR(K29="Answer all 5",P29="Answer all 4"),"Score it",IF(K29="High",IF(P29="Hard","Human","Assist"),IF(P29="Hard","Agent","Automate"))))))</f>
        <v/>
      </c>
      <c r="S29" s="60" t="n"/>
      <c r="T29" s="59" t="n"/>
      <c r="U29" s="62" t="n"/>
      <c r="V29" s="57">
        <f>IF(B29="","",IF(R29="Cut","Stop doing this task.",IF(R29="Score it","Answer all nine questions.",IF(AND(R29="Human",Q29&lt;&gt;"Y"),"Confirm it stays Human, or redesign it so it is easier to check and score again.",IF(AND(R29="Agent",S29&lt;&gt;"Y"),"Write the agent job description before it goes live.",IF(T29="","Name an owner.",IF(U29="","Set a review date.","Ready.")))))))</f>
        <v/>
      </c>
    </row>
    <row r="30" ht="15" customHeight="1" s="41">
      <c r="A30" s="57">
        <f>IF(Taxonomy!A30="","",Taxonomy!A30)</f>
        <v/>
      </c>
      <c r="B30" s="57">
        <f>IF(Taxonomy!E30="","",Taxonomy!E30)</f>
        <v/>
      </c>
      <c r="C30" s="58">
        <f>IF(Taxonomy!J30="","",Taxonomy!J30)</f>
        <v/>
      </c>
      <c r="D30" s="57">
        <f>IF(Taxonomy!S30="","",Taxonomy!S30)</f>
        <v/>
      </c>
      <c r="E30" s="59" t="n"/>
      <c r="F30" s="60" t="n"/>
      <c r="G30" s="60" t="n"/>
      <c r="H30" s="60" t="n"/>
      <c r="I30" s="60" t="n"/>
      <c r="J30" s="60" t="n"/>
      <c r="K30" s="61">
        <f>IF(OR(B30="",D30="Cut"),"",IF(COUNTA(F30:J30)&lt;5,"Answer all 5",IF(COUNTIF(F30:J30,"Y")&gt;0,"High","Low")))</f>
        <v/>
      </c>
      <c r="L30" s="60" t="n"/>
      <c r="M30" s="60" t="n"/>
      <c r="N30" s="60" t="n"/>
      <c r="O30" s="60" t="n"/>
      <c r="P30" s="61">
        <f>IF(OR(B30="",D30="Cut"),"",IF(COUNTA(L30:O30)&lt;4,"Answer all 4",IF(COUNTIF(L30:O30,"Y")&gt;0,"Hard","Easy")))</f>
        <v/>
      </c>
      <c r="Q30" s="60" t="n"/>
      <c r="R30" s="61">
        <f>IF(B30="","",IF(D30="Cut","Cut",IF(Q30="Y","Human",IF(OR(K30="Answer all 5",P30="Answer all 4"),"Score it",IF(K30="High",IF(P30="Hard","Human","Assist"),IF(P30="Hard","Agent","Automate"))))))</f>
        <v/>
      </c>
      <c r="S30" s="60" t="n"/>
      <c r="T30" s="59" t="n"/>
      <c r="U30" s="62" t="n"/>
      <c r="V30" s="57">
        <f>IF(B30="","",IF(R30="Cut","Stop doing this task.",IF(R30="Score it","Answer all nine questions.",IF(AND(R30="Human",Q30&lt;&gt;"Y"),"Confirm it stays Human, or redesign it so it is easier to check and score again.",IF(AND(R30="Agent",S30&lt;&gt;"Y"),"Write the agent job description before it goes live.",IF(T30="","Name an owner.",IF(U30="","Set a review date.","Ready.")))))))</f>
        <v/>
      </c>
    </row>
    <row r="31" ht="15" customHeight="1" s="41">
      <c r="A31" s="57">
        <f>IF(Taxonomy!A31="","",Taxonomy!A31)</f>
        <v/>
      </c>
      <c r="B31" s="57">
        <f>IF(Taxonomy!E31="","",Taxonomy!E31)</f>
        <v/>
      </c>
      <c r="C31" s="58">
        <f>IF(Taxonomy!J31="","",Taxonomy!J31)</f>
        <v/>
      </c>
      <c r="D31" s="57">
        <f>IF(Taxonomy!S31="","",Taxonomy!S31)</f>
        <v/>
      </c>
      <c r="E31" s="59" t="n"/>
      <c r="F31" s="60" t="n"/>
      <c r="G31" s="60" t="n"/>
      <c r="H31" s="60" t="n"/>
      <c r="I31" s="60" t="n"/>
      <c r="J31" s="60" t="n"/>
      <c r="K31" s="61">
        <f>IF(OR(B31="",D31="Cut"),"",IF(COUNTA(F31:J31)&lt;5,"Answer all 5",IF(COUNTIF(F31:J31,"Y")&gt;0,"High","Low")))</f>
        <v/>
      </c>
      <c r="L31" s="60" t="n"/>
      <c r="M31" s="60" t="n"/>
      <c r="N31" s="60" t="n"/>
      <c r="O31" s="60" t="n"/>
      <c r="P31" s="61">
        <f>IF(OR(B31="",D31="Cut"),"",IF(COUNTA(L31:O31)&lt;4,"Answer all 4",IF(COUNTIF(L31:O31,"Y")&gt;0,"Hard","Easy")))</f>
        <v/>
      </c>
      <c r="Q31" s="60" t="n"/>
      <c r="R31" s="61">
        <f>IF(B31="","",IF(D31="Cut","Cut",IF(Q31="Y","Human",IF(OR(K31="Answer all 5",P31="Answer all 4"),"Score it",IF(K31="High",IF(P31="Hard","Human","Assist"),IF(P31="Hard","Agent","Automate"))))))</f>
        <v/>
      </c>
      <c r="S31" s="60" t="n"/>
      <c r="T31" s="59" t="n"/>
      <c r="U31" s="62" t="n"/>
      <c r="V31" s="57">
        <f>IF(B31="","",IF(R31="Cut","Stop doing this task.",IF(R31="Score it","Answer all nine questions.",IF(AND(R31="Human",Q31&lt;&gt;"Y"),"Confirm it stays Human, or redesign it so it is easier to check and score again.",IF(AND(R31="Agent",S31&lt;&gt;"Y"),"Write the agent job description before it goes live.",IF(T31="","Name an owner.",IF(U31="","Set a review date.","Ready.")))))))</f>
        <v/>
      </c>
    </row>
    <row r="32" ht="15" customHeight="1" s="41">
      <c r="A32" s="57">
        <f>IF(Taxonomy!A32="","",Taxonomy!A32)</f>
        <v/>
      </c>
      <c r="B32" s="57">
        <f>IF(Taxonomy!E32="","",Taxonomy!E32)</f>
        <v/>
      </c>
      <c r="C32" s="58">
        <f>IF(Taxonomy!J32="","",Taxonomy!J32)</f>
        <v/>
      </c>
      <c r="D32" s="57">
        <f>IF(Taxonomy!S32="","",Taxonomy!S32)</f>
        <v/>
      </c>
      <c r="E32" s="59" t="n"/>
      <c r="F32" s="60" t="n"/>
      <c r="G32" s="60" t="n"/>
      <c r="H32" s="60" t="n"/>
      <c r="I32" s="60" t="n"/>
      <c r="J32" s="60" t="n"/>
      <c r="K32" s="61">
        <f>IF(OR(B32="",D32="Cut"),"",IF(COUNTA(F32:J32)&lt;5,"Answer all 5",IF(COUNTIF(F32:J32,"Y")&gt;0,"High","Low")))</f>
        <v/>
      </c>
      <c r="L32" s="60" t="n"/>
      <c r="M32" s="60" t="n"/>
      <c r="N32" s="60" t="n"/>
      <c r="O32" s="60" t="n"/>
      <c r="P32" s="61">
        <f>IF(OR(B32="",D32="Cut"),"",IF(COUNTA(L32:O32)&lt;4,"Answer all 4",IF(COUNTIF(L32:O32,"Y")&gt;0,"Hard","Easy")))</f>
        <v/>
      </c>
      <c r="Q32" s="60" t="n"/>
      <c r="R32" s="61">
        <f>IF(B32="","",IF(D32="Cut","Cut",IF(Q32="Y","Human",IF(OR(K32="Answer all 5",P32="Answer all 4"),"Score it",IF(K32="High",IF(P32="Hard","Human","Assist"),IF(P32="Hard","Agent","Automate"))))))</f>
        <v/>
      </c>
      <c r="S32" s="60" t="n"/>
      <c r="T32" s="59" t="n"/>
      <c r="U32" s="62" t="n"/>
      <c r="V32" s="57">
        <f>IF(B32="","",IF(R32="Cut","Stop doing this task.",IF(R32="Score it","Answer all nine questions.",IF(AND(R32="Human",Q32&lt;&gt;"Y"),"Confirm it stays Human, or redesign it so it is easier to check and score again.",IF(AND(R32="Agent",S32&lt;&gt;"Y"),"Write the agent job description before it goes live.",IF(T32="","Name an owner.",IF(U32="","Set a review date.","Ready.")))))))</f>
        <v/>
      </c>
    </row>
    <row r="33" ht="15" customHeight="1" s="41">
      <c r="A33" s="57">
        <f>IF(Taxonomy!A33="","",Taxonomy!A33)</f>
        <v/>
      </c>
      <c r="B33" s="57">
        <f>IF(Taxonomy!E33="","",Taxonomy!E33)</f>
        <v/>
      </c>
      <c r="C33" s="58">
        <f>IF(Taxonomy!J33="","",Taxonomy!J33)</f>
        <v/>
      </c>
      <c r="D33" s="57">
        <f>IF(Taxonomy!S33="","",Taxonomy!S33)</f>
        <v/>
      </c>
      <c r="E33" s="59" t="n"/>
      <c r="F33" s="60" t="n"/>
      <c r="G33" s="60" t="n"/>
      <c r="H33" s="60" t="n"/>
      <c r="I33" s="60" t="n"/>
      <c r="J33" s="60" t="n"/>
      <c r="K33" s="61">
        <f>IF(OR(B33="",D33="Cut"),"",IF(COUNTA(F33:J33)&lt;5,"Answer all 5",IF(COUNTIF(F33:J33,"Y")&gt;0,"High","Low")))</f>
        <v/>
      </c>
      <c r="L33" s="60" t="n"/>
      <c r="M33" s="60" t="n"/>
      <c r="N33" s="60" t="n"/>
      <c r="O33" s="60" t="n"/>
      <c r="P33" s="61">
        <f>IF(OR(B33="",D33="Cut"),"",IF(COUNTA(L33:O33)&lt;4,"Answer all 4",IF(COUNTIF(L33:O33,"Y")&gt;0,"Hard","Easy")))</f>
        <v/>
      </c>
      <c r="Q33" s="60" t="n"/>
      <c r="R33" s="61">
        <f>IF(B33="","",IF(D33="Cut","Cut",IF(Q33="Y","Human",IF(OR(K33="Answer all 5",P33="Answer all 4"),"Score it",IF(K33="High",IF(P33="Hard","Human","Assist"),IF(P33="Hard","Agent","Automate"))))))</f>
        <v/>
      </c>
      <c r="S33" s="60" t="n"/>
      <c r="T33" s="59" t="n"/>
      <c r="U33" s="62" t="n"/>
      <c r="V33" s="57">
        <f>IF(B33="","",IF(R33="Cut","Stop doing this task.",IF(R33="Score it","Answer all nine questions.",IF(AND(R33="Human",Q33&lt;&gt;"Y"),"Confirm it stays Human, or redesign it so it is easier to check and score again.",IF(AND(R33="Agent",S33&lt;&gt;"Y"),"Write the agent job description before it goes live.",IF(T33="","Name an owner.",IF(U33="","Set a review date.","Ready.")))))))</f>
        <v/>
      </c>
    </row>
    <row r="34" ht="15" customHeight="1" s="41">
      <c r="A34" s="57">
        <f>IF(Taxonomy!A34="","",Taxonomy!A34)</f>
        <v/>
      </c>
      <c r="B34" s="57">
        <f>IF(Taxonomy!E34="","",Taxonomy!E34)</f>
        <v/>
      </c>
      <c r="C34" s="58">
        <f>IF(Taxonomy!J34="","",Taxonomy!J34)</f>
        <v/>
      </c>
      <c r="D34" s="57">
        <f>IF(Taxonomy!S34="","",Taxonomy!S34)</f>
        <v/>
      </c>
      <c r="E34" s="59" t="n"/>
      <c r="F34" s="60" t="n"/>
      <c r="G34" s="60" t="n"/>
      <c r="H34" s="60" t="n"/>
      <c r="I34" s="60" t="n"/>
      <c r="J34" s="60" t="n"/>
      <c r="K34" s="61">
        <f>IF(OR(B34="",D34="Cut"),"",IF(COUNTA(F34:J34)&lt;5,"Answer all 5",IF(COUNTIF(F34:J34,"Y")&gt;0,"High","Low")))</f>
        <v/>
      </c>
      <c r="L34" s="60" t="n"/>
      <c r="M34" s="60" t="n"/>
      <c r="N34" s="60" t="n"/>
      <c r="O34" s="60" t="n"/>
      <c r="P34" s="61">
        <f>IF(OR(B34="",D34="Cut"),"",IF(COUNTA(L34:O34)&lt;4,"Answer all 4",IF(COUNTIF(L34:O34,"Y")&gt;0,"Hard","Easy")))</f>
        <v/>
      </c>
      <c r="Q34" s="60" t="n"/>
      <c r="R34" s="61">
        <f>IF(B34="","",IF(D34="Cut","Cut",IF(Q34="Y","Human",IF(OR(K34="Answer all 5",P34="Answer all 4"),"Score it",IF(K34="High",IF(P34="Hard","Human","Assist"),IF(P34="Hard","Agent","Automate"))))))</f>
        <v/>
      </c>
      <c r="S34" s="60" t="n"/>
      <c r="T34" s="59" t="n"/>
      <c r="U34" s="62" t="n"/>
      <c r="V34" s="57">
        <f>IF(B34="","",IF(R34="Cut","Stop doing this task.",IF(R34="Score it","Answer all nine questions.",IF(AND(R34="Human",Q34&lt;&gt;"Y"),"Confirm it stays Human, or redesign it so it is easier to check and score again.",IF(AND(R34="Agent",S34&lt;&gt;"Y"),"Write the agent job description before it goes live.",IF(T34="","Name an owner.",IF(U34="","Set a review date.","Ready.")))))))</f>
        <v/>
      </c>
    </row>
    <row r="35" ht="15" customHeight="1" s="41">
      <c r="A35" s="57">
        <f>IF(Taxonomy!A35="","",Taxonomy!A35)</f>
        <v/>
      </c>
      <c r="B35" s="57">
        <f>IF(Taxonomy!E35="","",Taxonomy!E35)</f>
        <v/>
      </c>
      <c r="C35" s="58">
        <f>IF(Taxonomy!J35="","",Taxonomy!J35)</f>
        <v/>
      </c>
      <c r="D35" s="57">
        <f>IF(Taxonomy!S35="","",Taxonomy!S35)</f>
        <v/>
      </c>
      <c r="E35" s="59" t="n"/>
      <c r="F35" s="60" t="n"/>
      <c r="G35" s="60" t="n"/>
      <c r="H35" s="60" t="n"/>
      <c r="I35" s="60" t="n"/>
      <c r="J35" s="60" t="n"/>
      <c r="K35" s="61">
        <f>IF(OR(B35="",D35="Cut"),"",IF(COUNTA(F35:J35)&lt;5,"Answer all 5",IF(COUNTIF(F35:J35,"Y")&gt;0,"High","Low")))</f>
        <v/>
      </c>
      <c r="L35" s="60" t="n"/>
      <c r="M35" s="60" t="n"/>
      <c r="N35" s="60" t="n"/>
      <c r="O35" s="60" t="n"/>
      <c r="P35" s="61">
        <f>IF(OR(B35="",D35="Cut"),"",IF(COUNTA(L35:O35)&lt;4,"Answer all 4",IF(COUNTIF(L35:O35,"Y")&gt;0,"Hard","Easy")))</f>
        <v/>
      </c>
      <c r="Q35" s="60" t="n"/>
      <c r="R35" s="61">
        <f>IF(B35="","",IF(D35="Cut","Cut",IF(Q35="Y","Human",IF(OR(K35="Answer all 5",P35="Answer all 4"),"Score it",IF(K35="High",IF(P35="Hard","Human","Assist"),IF(P35="Hard","Agent","Automate"))))))</f>
        <v/>
      </c>
      <c r="S35" s="60" t="n"/>
      <c r="T35" s="59" t="n"/>
      <c r="U35" s="62" t="n"/>
      <c r="V35" s="57">
        <f>IF(B35="","",IF(R35="Cut","Stop doing this task.",IF(R35="Score it","Answer all nine questions.",IF(AND(R35="Human",Q35&lt;&gt;"Y"),"Confirm it stays Human, or redesign it so it is easier to check and score again.",IF(AND(R35="Agent",S35&lt;&gt;"Y"),"Write the agent job description before it goes live.",IF(T35="","Name an owner.",IF(U35="","Set a review date.","Ready.")))))))</f>
        <v/>
      </c>
    </row>
    <row r="36" ht="15" customHeight="1" s="41">
      <c r="A36" s="57">
        <f>IF(Taxonomy!A36="","",Taxonomy!A36)</f>
        <v/>
      </c>
      <c r="B36" s="57">
        <f>IF(Taxonomy!E36="","",Taxonomy!E36)</f>
        <v/>
      </c>
      <c r="C36" s="58">
        <f>IF(Taxonomy!J36="","",Taxonomy!J36)</f>
        <v/>
      </c>
      <c r="D36" s="57">
        <f>IF(Taxonomy!S36="","",Taxonomy!S36)</f>
        <v/>
      </c>
      <c r="E36" s="59" t="n"/>
      <c r="F36" s="60" t="n"/>
      <c r="G36" s="60" t="n"/>
      <c r="H36" s="60" t="n"/>
      <c r="I36" s="60" t="n"/>
      <c r="J36" s="60" t="n"/>
      <c r="K36" s="61">
        <f>IF(OR(B36="",D36="Cut"),"",IF(COUNTA(F36:J36)&lt;5,"Answer all 5",IF(COUNTIF(F36:J36,"Y")&gt;0,"High","Low")))</f>
        <v/>
      </c>
      <c r="L36" s="60" t="n"/>
      <c r="M36" s="60" t="n"/>
      <c r="N36" s="60" t="n"/>
      <c r="O36" s="60" t="n"/>
      <c r="P36" s="61">
        <f>IF(OR(B36="",D36="Cut"),"",IF(COUNTA(L36:O36)&lt;4,"Answer all 4",IF(COUNTIF(L36:O36,"Y")&gt;0,"Hard","Easy")))</f>
        <v/>
      </c>
      <c r="Q36" s="60" t="n"/>
      <c r="R36" s="61">
        <f>IF(B36="","",IF(D36="Cut","Cut",IF(Q36="Y","Human",IF(OR(K36="Answer all 5",P36="Answer all 4"),"Score it",IF(K36="High",IF(P36="Hard","Human","Assist"),IF(P36="Hard","Agent","Automate"))))))</f>
        <v/>
      </c>
      <c r="S36" s="60" t="n"/>
      <c r="T36" s="59" t="n"/>
      <c r="U36" s="62" t="n"/>
      <c r="V36" s="57">
        <f>IF(B36="","",IF(R36="Cut","Stop doing this task.",IF(R36="Score it","Answer all nine questions.",IF(AND(R36="Human",Q36&lt;&gt;"Y"),"Confirm it stays Human, or redesign it so it is easier to check and score again.",IF(AND(R36="Agent",S36&lt;&gt;"Y"),"Write the agent job description before it goes live.",IF(T36="","Name an owner.",IF(U36="","Set a review date.","Ready.")))))))</f>
        <v/>
      </c>
    </row>
    <row r="37" ht="15" customHeight="1" s="41">
      <c r="A37" s="57">
        <f>IF(Taxonomy!A37="","",Taxonomy!A37)</f>
        <v/>
      </c>
      <c r="B37" s="57">
        <f>IF(Taxonomy!E37="","",Taxonomy!E37)</f>
        <v/>
      </c>
      <c r="C37" s="58">
        <f>IF(Taxonomy!J37="","",Taxonomy!J37)</f>
        <v/>
      </c>
      <c r="D37" s="57">
        <f>IF(Taxonomy!S37="","",Taxonomy!S37)</f>
        <v/>
      </c>
      <c r="E37" s="59" t="n"/>
      <c r="F37" s="60" t="n"/>
      <c r="G37" s="60" t="n"/>
      <c r="H37" s="60" t="n"/>
      <c r="I37" s="60" t="n"/>
      <c r="J37" s="60" t="n"/>
      <c r="K37" s="61">
        <f>IF(OR(B37="",D37="Cut"),"",IF(COUNTA(F37:J37)&lt;5,"Answer all 5",IF(COUNTIF(F37:J37,"Y")&gt;0,"High","Low")))</f>
        <v/>
      </c>
      <c r="L37" s="60" t="n"/>
      <c r="M37" s="60" t="n"/>
      <c r="N37" s="60" t="n"/>
      <c r="O37" s="60" t="n"/>
      <c r="P37" s="61">
        <f>IF(OR(B37="",D37="Cut"),"",IF(COUNTA(L37:O37)&lt;4,"Answer all 4",IF(COUNTIF(L37:O37,"Y")&gt;0,"Hard","Easy")))</f>
        <v/>
      </c>
      <c r="Q37" s="60" t="n"/>
      <c r="R37" s="61">
        <f>IF(B37="","",IF(D37="Cut","Cut",IF(Q37="Y","Human",IF(OR(K37="Answer all 5",P37="Answer all 4"),"Score it",IF(K37="High",IF(P37="Hard","Human","Assist"),IF(P37="Hard","Agent","Automate"))))))</f>
        <v/>
      </c>
      <c r="S37" s="60" t="n"/>
      <c r="T37" s="59" t="n"/>
      <c r="U37" s="62" t="n"/>
      <c r="V37" s="57">
        <f>IF(B37="","",IF(R37="Cut","Stop doing this task.",IF(R37="Score it","Answer all nine questions.",IF(AND(R37="Human",Q37&lt;&gt;"Y"),"Confirm it stays Human, or redesign it so it is easier to check and score again.",IF(AND(R37="Agent",S37&lt;&gt;"Y"),"Write the agent job description before it goes live.",IF(T37="","Name an owner.",IF(U37="","Set a review date.","Ready.")))))))</f>
        <v/>
      </c>
    </row>
    <row r="38" ht="15" customHeight="1" s="41">
      <c r="A38" s="57">
        <f>IF(Taxonomy!A38="","",Taxonomy!A38)</f>
        <v/>
      </c>
      <c r="B38" s="57">
        <f>IF(Taxonomy!E38="","",Taxonomy!E38)</f>
        <v/>
      </c>
      <c r="C38" s="58">
        <f>IF(Taxonomy!J38="","",Taxonomy!J38)</f>
        <v/>
      </c>
      <c r="D38" s="57">
        <f>IF(Taxonomy!S38="","",Taxonomy!S38)</f>
        <v/>
      </c>
      <c r="E38" s="59" t="n"/>
      <c r="F38" s="60" t="n"/>
      <c r="G38" s="60" t="n"/>
      <c r="H38" s="60" t="n"/>
      <c r="I38" s="60" t="n"/>
      <c r="J38" s="60" t="n"/>
      <c r="K38" s="61">
        <f>IF(OR(B38="",D38="Cut"),"",IF(COUNTA(F38:J38)&lt;5,"Answer all 5",IF(COUNTIF(F38:J38,"Y")&gt;0,"High","Low")))</f>
        <v/>
      </c>
      <c r="L38" s="60" t="n"/>
      <c r="M38" s="60" t="n"/>
      <c r="N38" s="60" t="n"/>
      <c r="O38" s="60" t="n"/>
      <c r="P38" s="61">
        <f>IF(OR(B38="",D38="Cut"),"",IF(COUNTA(L38:O38)&lt;4,"Answer all 4",IF(COUNTIF(L38:O38,"Y")&gt;0,"Hard","Easy")))</f>
        <v/>
      </c>
      <c r="Q38" s="60" t="n"/>
      <c r="R38" s="61">
        <f>IF(B38="","",IF(D38="Cut","Cut",IF(Q38="Y","Human",IF(OR(K38="Answer all 5",P38="Answer all 4"),"Score it",IF(K38="High",IF(P38="Hard","Human","Assist"),IF(P38="Hard","Agent","Automate"))))))</f>
        <v/>
      </c>
      <c r="S38" s="60" t="n"/>
      <c r="T38" s="59" t="n"/>
      <c r="U38" s="62" t="n"/>
      <c r="V38" s="57">
        <f>IF(B38="","",IF(R38="Cut","Stop doing this task.",IF(R38="Score it","Answer all nine questions.",IF(AND(R38="Human",Q38&lt;&gt;"Y"),"Confirm it stays Human, or redesign it so it is easier to check and score again.",IF(AND(R38="Agent",S38&lt;&gt;"Y"),"Write the agent job description before it goes live.",IF(T38="","Name an owner.",IF(U38="","Set a review date.","Ready.")))))))</f>
        <v/>
      </c>
    </row>
    <row r="39" ht="15" customHeight="1" s="41">
      <c r="A39" s="57">
        <f>IF(Taxonomy!A39="","",Taxonomy!A39)</f>
        <v/>
      </c>
      <c r="B39" s="57">
        <f>IF(Taxonomy!E39="","",Taxonomy!E39)</f>
        <v/>
      </c>
      <c r="C39" s="58">
        <f>IF(Taxonomy!J39="","",Taxonomy!J39)</f>
        <v/>
      </c>
      <c r="D39" s="57">
        <f>IF(Taxonomy!S39="","",Taxonomy!S39)</f>
        <v/>
      </c>
      <c r="E39" s="59" t="n"/>
      <c r="F39" s="60" t="n"/>
      <c r="G39" s="60" t="n"/>
      <c r="H39" s="60" t="n"/>
      <c r="I39" s="60" t="n"/>
      <c r="J39" s="60" t="n"/>
      <c r="K39" s="61">
        <f>IF(OR(B39="",D39="Cut"),"",IF(COUNTA(F39:J39)&lt;5,"Answer all 5",IF(COUNTIF(F39:J39,"Y")&gt;0,"High","Low")))</f>
        <v/>
      </c>
      <c r="L39" s="60" t="n"/>
      <c r="M39" s="60" t="n"/>
      <c r="N39" s="60" t="n"/>
      <c r="O39" s="60" t="n"/>
      <c r="P39" s="61">
        <f>IF(OR(B39="",D39="Cut"),"",IF(COUNTA(L39:O39)&lt;4,"Answer all 4",IF(COUNTIF(L39:O39,"Y")&gt;0,"Hard","Easy")))</f>
        <v/>
      </c>
      <c r="Q39" s="60" t="n"/>
      <c r="R39" s="61">
        <f>IF(B39="","",IF(D39="Cut","Cut",IF(Q39="Y","Human",IF(OR(K39="Answer all 5",P39="Answer all 4"),"Score it",IF(K39="High",IF(P39="Hard","Human","Assist"),IF(P39="Hard","Agent","Automate"))))))</f>
        <v/>
      </c>
      <c r="S39" s="60" t="n"/>
      <c r="T39" s="59" t="n"/>
      <c r="U39" s="62" t="n"/>
      <c r="V39" s="57">
        <f>IF(B39="","",IF(R39="Cut","Stop doing this task.",IF(R39="Score it","Answer all nine questions.",IF(AND(R39="Human",Q39&lt;&gt;"Y"),"Confirm it stays Human, or redesign it so it is easier to check and score again.",IF(AND(R39="Agent",S39&lt;&gt;"Y"),"Write the agent job description before it goes live.",IF(T39="","Name an owner.",IF(U39="","Set a review date.","Ready.")))))))</f>
        <v/>
      </c>
    </row>
    <row r="40" ht="15" customHeight="1" s="41">
      <c r="A40" s="57">
        <f>IF(Taxonomy!A40="","",Taxonomy!A40)</f>
        <v/>
      </c>
      <c r="B40" s="57">
        <f>IF(Taxonomy!E40="","",Taxonomy!E40)</f>
        <v/>
      </c>
      <c r="C40" s="58">
        <f>IF(Taxonomy!J40="","",Taxonomy!J40)</f>
        <v/>
      </c>
      <c r="D40" s="57">
        <f>IF(Taxonomy!S40="","",Taxonomy!S40)</f>
        <v/>
      </c>
      <c r="E40" s="59" t="n"/>
      <c r="F40" s="60" t="n"/>
      <c r="G40" s="60" t="n"/>
      <c r="H40" s="60" t="n"/>
      <c r="I40" s="60" t="n"/>
      <c r="J40" s="60" t="n"/>
      <c r="K40" s="61">
        <f>IF(OR(B40="",D40="Cut"),"",IF(COUNTA(F40:J40)&lt;5,"Answer all 5",IF(COUNTIF(F40:J40,"Y")&gt;0,"High","Low")))</f>
        <v/>
      </c>
      <c r="L40" s="60" t="n"/>
      <c r="M40" s="60" t="n"/>
      <c r="N40" s="60" t="n"/>
      <c r="O40" s="60" t="n"/>
      <c r="P40" s="61">
        <f>IF(OR(B40="",D40="Cut"),"",IF(COUNTA(L40:O40)&lt;4,"Answer all 4",IF(COUNTIF(L40:O40,"Y")&gt;0,"Hard","Easy")))</f>
        <v/>
      </c>
      <c r="Q40" s="60" t="n"/>
      <c r="R40" s="61">
        <f>IF(B40="","",IF(D40="Cut","Cut",IF(Q40="Y","Human",IF(OR(K40="Answer all 5",P40="Answer all 4"),"Score it",IF(K40="High",IF(P40="Hard","Human","Assist"),IF(P40="Hard","Agent","Automate"))))))</f>
        <v/>
      </c>
      <c r="S40" s="60" t="n"/>
      <c r="T40" s="59" t="n"/>
      <c r="U40" s="62" t="n"/>
      <c r="V40" s="57">
        <f>IF(B40="","",IF(R40="Cut","Stop doing this task.",IF(R40="Score it","Answer all nine questions.",IF(AND(R40="Human",Q40&lt;&gt;"Y"),"Confirm it stays Human, or redesign it so it is easier to check and score again.",IF(AND(R40="Agent",S40&lt;&gt;"Y"),"Write the agent job description before it goes live.",IF(T40="","Name an owner.",IF(U40="","Set a review date.","Ready.")))))))</f>
        <v/>
      </c>
    </row>
    <row r="41" ht="15" customHeight="1" s="41">
      <c r="A41" s="57">
        <f>IF(Taxonomy!A41="","",Taxonomy!A41)</f>
        <v/>
      </c>
      <c r="B41" s="57">
        <f>IF(Taxonomy!E41="","",Taxonomy!E41)</f>
        <v/>
      </c>
      <c r="C41" s="58">
        <f>IF(Taxonomy!J41="","",Taxonomy!J41)</f>
        <v/>
      </c>
      <c r="D41" s="57">
        <f>IF(Taxonomy!S41="","",Taxonomy!S41)</f>
        <v/>
      </c>
      <c r="E41" s="59" t="n"/>
      <c r="F41" s="60" t="n"/>
      <c r="G41" s="60" t="n"/>
      <c r="H41" s="60" t="n"/>
      <c r="I41" s="60" t="n"/>
      <c r="J41" s="60" t="n"/>
      <c r="K41" s="61">
        <f>IF(OR(B41="",D41="Cut"),"",IF(COUNTA(F41:J41)&lt;5,"Answer all 5",IF(COUNTIF(F41:J41,"Y")&gt;0,"High","Low")))</f>
        <v/>
      </c>
      <c r="L41" s="60" t="n"/>
      <c r="M41" s="60" t="n"/>
      <c r="N41" s="60" t="n"/>
      <c r="O41" s="60" t="n"/>
      <c r="P41" s="61">
        <f>IF(OR(B41="",D41="Cut"),"",IF(COUNTA(L41:O41)&lt;4,"Answer all 4",IF(COUNTIF(L41:O41,"Y")&gt;0,"Hard","Easy")))</f>
        <v/>
      </c>
      <c r="Q41" s="60" t="n"/>
      <c r="R41" s="61">
        <f>IF(B41="","",IF(D41="Cut","Cut",IF(Q41="Y","Human",IF(OR(K41="Answer all 5",P41="Answer all 4"),"Score it",IF(K41="High",IF(P41="Hard","Human","Assist"),IF(P41="Hard","Agent","Automate"))))))</f>
        <v/>
      </c>
      <c r="S41" s="60" t="n"/>
      <c r="T41" s="59" t="n"/>
      <c r="U41" s="62" t="n"/>
      <c r="V41" s="57">
        <f>IF(B41="","",IF(R41="Cut","Stop doing this task.",IF(R41="Score it","Answer all nine questions.",IF(AND(R41="Human",Q41&lt;&gt;"Y"),"Confirm it stays Human, or redesign it so it is easier to check and score again.",IF(AND(R41="Agent",S41&lt;&gt;"Y"),"Write the agent job description before it goes live.",IF(T41="","Name an owner.",IF(U41="","Set a review date.","Ready.")))))))</f>
        <v/>
      </c>
    </row>
    <row r="42" ht="15" customHeight="1" s="41">
      <c r="A42" s="57">
        <f>IF(Taxonomy!A42="","",Taxonomy!A42)</f>
        <v/>
      </c>
      <c r="B42" s="57">
        <f>IF(Taxonomy!E42="","",Taxonomy!E42)</f>
        <v/>
      </c>
      <c r="C42" s="58">
        <f>IF(Taxonomy!J42="","",Taxonomy!J42)</f>
        <v/>
      </c>
      <c r="D42" s="57">
        <f>IF(Taxonomy!S42="","",Taxonomy!S42)</f>
        <v/>
      </c>
      <c r="E42" s="59" t="n"/>
      <c r="F42" s="60" t="n"/>
      <c r="G42" s="60" t="n"/>
      <c r="H42" s="60" t="n"/>
      <c r="I42" s="60" t="n"/>
      <c r="J42" s="60" t="n"/>
      <c r="K42" s="61">
        <f>IF(OR(B42="",D42="Cut"),"",IF(COUNTA(F42:J42)&lt;5,"Answer all 5",IF(COUNTIF(F42:J42,"Y")&gt;0,"High","Low")))</f>
        <v/>
      </c>
      <c r="L42" s="60" t="n"/>
      <c r="M42" s="60" t="n"/>
      <c r="N42" s="60" t="n"/>
      <c r="O42" s="60" t="n"/>
      <c r="P42" s="61">
        <f>IF(OR(B42="",D42="Cut"),"",IF(COUNTA(L42:O42)&lt;4,"Answer all 4",IF(COUNTIF(L42:O42,"Y")&gt;0,"Hard","Easy")))</f>
        <v/>
      </c>
      <c r="Q42" s="60" t="n"/>
      <c r="R42" s="61">
        <f>IF(B42="","",IF(D42="Cut","Cut",IF(Q42="Y","Human",IF(OR(K42="Answer all 5",P42="Answer all 4"),"Score it",IF(K42="High",IF(P42="Hard","Human","Assist"),IF(P42="Hard","Agent","Automate"))))))</f>
        <v/>
      </c>
      <c r="S42" s="60" t="n"/>
      <c r="T42" s="59" t="n"/>
      <c r="U42" s="62" t="n"/>
      <c r="V42" s="57">
        <f>IF(B42="","",IF(R42="Cut","Stop doing this task.",IF(R42="Score it","Answer all nine questions.",IF(AND(R42="Human",Q42&lt;&gt;"Y"),"Confirm it stays Human, or redesign it so it is easier to check and score again.",IF(AND(R42="Agent",S42&lt;&gt;"Y"),"Write the agent job description before it goes live.",IF(T42="","Name an owner.",IF(U42="","Set a review date.","Ready.")))))))</f>
        <v/>
      </c>
    </row>
    <row r="43" ht="15" customHeight="1" s="41">
      <c r="A43" s="57">
        <f>IF(Taxonomy!A43="","",Taxonomy!A43)</f>
        <v/>
      </c>
      <c r="B43" s="57">
        <f>IF(Taxonomy!E43="","",Taxonomy!E43)</f>
        <v/>
      </c>
      <c r="C43" s="58">
        <f>IF(Taxonomy!J43="","",Taxonomy!J43)</f>
        <v/>
      </c>
      <c r="D43" s="57">
        <f>IF(Taxonomy!S43="","",Taxonomy!S43)</f>
        <v/>
      </c>
      <c r="E43" s="59" t="n"/>
      <c r="F43" s="60" t="n"/>
      <c r="G43" s="60" t="n"/>
      <c r="H43" s="60" t="n"/>
      <c r="I43" s="60" t="n"/>
      <c r="J43" s="60" t="n"/>
      <c r="K43" s="61">
        <f>IF(OR(B43="",D43="Cut"),"",IF(COUNTA(F43:J43)&lt;5,"Answer all 5",IF(COUNTIF(F43:J43,"Y")&gt;0,"High","Low")))</f>
        <v/>
      </c>
      <c r="L43" s="60" t="n"/>
      <c r="M43" s="60" t="n"/>
      <c r="N43" s="60" t="n"/>
      <c r="O43" s="60" t="n"/>
      <c r="P43" s="61">
        <f>IF(OR(B43="",D43="Cut"),"",IF(COUNTA(L43:O43)&lt;4,"Answer all 4",IF(COUNTIF(L43:O43,"Y")&gt;0,"Hard","Easy")))</f>
        <v/>
      </c>
      <c r="Q43" s="60" t="n"/>
      <c r="R43" s="61">
        <f>IF(B43="","",IF(D43="Cut","Cut",IF(Q43="Y","Human",IF(OR(K43="Answer all 5",P43="Answer all 4"),"Score it",IF(K43="High",IF(P43="Hard","Human","Assist"),IF(P43="Hard","Agent","Automate"))))))</f>
        <v/>
      </c>
      <c r="S43" s="60" t="n"/>
      <c r="T43" s="59" t="n"/>
      <c r="U43" s="62" t="n"/>
      <c r="V43" s="57">
        <f>IF(B43="","",IF(R43="Cut","Stop doing this task.",IF(R43="Score it","Answer all nine questions.",IF(AND(R43="Human",Q43&lt;&gt;"Y"),"Confirm it stays Human, or redesign it so it is easier to check and score again.",IF(AND(R43="Agent",S43&lt;&gt;"Y"),"Write the agent job description before it goes live.",IF(T43="","Name an owner.",IF(U43="","Set a review date.","Ready.")))))))</f>
        <v/>
      </c>
    </row>
    <row r="44" ht="15" customHeight="1" s="41">
      <c r="A44" s="57">
        <f>IF(Taxonomy!A44="","",Taxonomy!A44)</f>
        <v/>
      </c>
      <c r="B44" s="57">
        <f>IF(Taxonomy!E44="","",Taxonomy!E44)</f>
        <v/>
      </c>
      <c r="C44" s="58">
        <f>IF(Taxonomy!J44="","",Taxonomy!J44)</f>
        <v/>
      </c>
      <c r="D44" s="57">
        <f>IF(Taxonomy!S44="","",Taxonomy!S44)</f>
        <v/>
      </c>
      <c r="E44" s="59" t="n"/>
      <c r="F44" s="60" t="n"/>
      <c r="G44" s="60" t="n"/>
      <c r="H44" s="60" t="n"/>
      <c r="I44" s="60" t="n"/>
      <c r="J44" s="60" t="n"/>
      <c r="K44" s="61">
        <f>IF(OR(B44="",D44="Cut"),"",IF(COUNTA(F44:J44)&lt;5,"Answer all 5",IF(COUNTIF(F44:J44,"Y")&gt;0,"High","Low")))</f>
        <v/>
      </c>
      <c r="L44" s="60" t="n"/>
      <c r="M44" s="60" t="n"/>
      <c r="N44" s="60" t="n"/>
      <c r="O44" s="60" t="n"/>
      <c r="P44" s="61">
        <f>IF(OR(B44="",D44="Cut"),"",IF(COUNTA(L44:O44)&lt;4,"Answer all 4",IF(COUNTIF(L44:O44,"Y")&gt;0,"Hard","Easy")))</f>
        <v/>
      </c>
      <c r="Q44" s="60" t="n"/>
      <c r="R44" s="61">
        <f>IF(B44="","",IF(D44="Cut","Cut",IF(Q44="Y","Human",IF(OR(K44="Answer all 5",P44="Answer all 4"),"Score it",IF(K44="High",IF(P44="Hard","Human","Assist"),IF(P44="Hard","Agent","Automate"))))))</f>
        <v/>
      </c>
      <c r="S44" s="60" t="n"/>
      <c r="T44" s="59" t="n"/>
      <c r="U44" s="62" t="n"/>
      <c r="V44" s="57">
        <f>IF(B44="","",IF(R44="Cut","Stop doing this task.",IF(R44="Score it","Answer all nine questions.",IF(AND(R44="Human",Q44&lt;&gt;"Y"),"Confirm it stays Human, or redesign it so it is easier to check and score again.",IF(AND(R44="Agent",S44&lt;&gt;"Y"),"Write the agent job description before it goes live.",IF(T44="","Name an owner.",IF(U44="","Set a review date.","Ready.")))))))</f>
        <v/>
      </c>
    </row>
    <row r="45" ht="15" customHeight="1" s="41">
      <c r="A45" s="57">
        <f>IF(Taxonomy!A45="","",Taxonomy!A45)</f>
        <v/>
      </c>
      <c r="B45" s="57">
        <f>IF(Taxonomy!E45="","",Taxonomy!E45)</f>
        <v/>
      </c>
      <c r="C45" s="58">
        <f>IF(Taxonomy!J45="","",Taxonomy!J45)</f>
        <v/>
      </c>
      <c r="D45" s="57">
        <f>IF(Taxonomy!S45="","",Taxonomy!S45)</f>
        <v/>
      </c>
      <c r="E45" s="59" t="n"/>
      <c r="F45" s="60" t="n"/>
      <c r="G45" s="60" t="n"/>
      <c r="H45" s="60" t="n"/>
      <c r="I45" s="60" t="n"/>
      <c r="J45" s="60" t="n"/>
      <c r="K45" s="61">
        <f>IF(OR(B45="",D45="Cut"),"",IF(COUNTA(F45:J45)&lt;5,"Answer all 5",IF(COUNTIF(F45:J45,"Y")&gt;0,"High","Low")))</f>
        <v/>
      </c>
      <c r="L45" s="60" t="n"/>
      <c r="M45" s="60" t="n"/>
      <c r="N45" s="60" t="n"/>
      <c r="O45" s="60" t="n"/>
      <c r="P45" s="61">
        <f>IF(OR(B45="",D45="Cut"),"",IF(COUNTA(L45:O45)&lt;4,"Answer all 4",IF(COUNTIF(L45:O45,"Y")&gt;0,"Hard","Easy")))</f>
        <v/>
      </c>
      <c r="Q45" s="60" t="n"/>
      <c r="R45" s="61">
        <f>IF(B45="","",IF(D45="Cut","Cut",IF(Q45="Y","Human",IF(OR(K45="Answer all 5",P45="Answer all 4"),"Score it",IF(K45="High",IF(P45="Hard","Human","Assist"),IF(P45="Hard","Agent","Automate"))))))</f>
        <v/>
      </c>
      <c r="S45" s="60" t="n"/>
      <c r="T45" s="59" t="n"/>
      <c r="U45" s="62" t="n"/>
      <c r="V45" s="57">
        <f>IF(B45="","",IF(R45="Cut","Stop doing this task.",IF(R45="Score it","Answer all nine questions.",IF(AND(R45="Human",Q45&lt;&gt;"Y"),"Confirm it stays Human, or redesign it so it is easier to check and score again.",IF(AND(R45="Agent",S45&lt;&gt;"Y"),"Write the agent job description before it goes live.",IF(T45="","Name an owner.",IF(U45="","Set a review date.","Ready.")))))))</f>
        <v/>
      </c>
    </row>
    <row r="46" ht="15" customHeight="1" s="41">
      <c r="A46" s="57">
        <f>IF(Taxonomy!A46="","",Taxonomy!A46)</f>
        <v/>
      </c>
      <c r="B46" s="57">
        <f>IF(Taxonomy!E46="","",Taxonomy!E46)</f>
        <v/>
      </c>
      <c r="C46" s="58">
        <f>IF(Taxonomy!J46="","",Taxonomy!J46)</f>
        <v/>
      </c>
      <c r="D46" s="57">
        <f>IF(Taxonomy!S46="","",Taxonomy!S46)</f>
        <v/>
      </c>
      <c r="E46" s="59" t="n"/>
      <c r="F46" s="60" t="n"/>
      <c r="G46" s="60" t="n"/>
      <c r="H46" s="60" t="n"/>
      <c r="I46" s="60" t="n"/>
      <c r="J46" s="60" t="n"/>
      <c r="K46" s="61">
        <f>IF(OR(B46="",D46="Cut"),"",IF(COUNTA(F46:J46)&lt;5,"Answer all 5",IF(COUNTIF(F46:J46,"Y")&gt;0,"High","Low")))</f>
        <v/>
      </c>
      <c r="L46" s="60" t="n"/>
      <c r="M46" s="60" t="n"/>
      <c r="N46" s="60" t="n"/>
      <c r="O46" s="60" t="n"/>
      <c r="P46" s="61">
        <f>IF(OR(B46="",D46="Cut"),"",IF(COUNTA(L46:O46)&lt;4,"Answer all 4",IF(COUNTIF(L46:O46,"Y")&gt;0,"Hard","Easy")))</f>
        <v/>
      </c>
      <c r="Q46" s="60" t="n"/>
      <c r="R46" s="61">
        <f>IF(B46="","",IF(D46="Cut","Cut",IF(Q46="Y","Human",IF(OR(K46="Answer all 5",P46="Answer all 4"),"Score it",IF(K46="High",IF(P46="Hard","Human","Assist"),IF(P46="Hard","Agent","Automate"))))))</f>
        <v/>
      </c>
      <c r="S46" s="60" t="n"/>
      <c r="T46" s="59" t="n"/>
      <c r="U46" s="62" t="n"/>
      <c r="V46" s="57">
        <f>IF(B46="","",IF(R46="Cut","Stop doing this task.",IF(R46="Score it","Answer all nine questions.",IF(AND(R46="Human",Q46&lt;&gt;"Y"),"Confirm it stays Human, or redesign it so it is easier to check and score again.",IF(AND(R46="Agent",S46&lt;&gt;"Y"),"Write the agent job description before it goes live.",IF(T46="","Name an owner.",IF(U46="","Set a review date.","Ready.")))))))</f>
        <v/>
      </c>
    </row>
    <row r="47" ht="15" customHeight="1" s="41">
      <c r="A47" s="57">
        <f>IF(Taxonomy!A47="","",Taxonomy!A47)</f>
        <v/>
      </c>
      <c r="B47" s="57">
        <f>IF(Taxonomy!E47="","",Taxonomy!E47)</f>
        <v/>
      </c>
      <c r="C47" s="58">
        <f>IF(Taxonomy!J47="","",Taxonomy!J47)</f>
        <v/>
      </c>
      <c r="D47" s="57">
        <f>IF(Taxonomy!S47="","",Taxonomy!S47)</f>
        <v/>
      </c>
      <c r="E47" s="59" t="n"/>
      <c r="F47" s="60" t="n"/>
      <c r="G47" s="60" t="n"/>
      <c r="H47" s="60" t="n"/>
      <c r="I47" s="60" t="n"/>
      <c r="J47" s="60" t="n"/>
      <c r="K47" s="61">
        <f>IF(OR(B47="",D47="Cut"),"",IF(COUNTA(F47:J47)&lt;5,"Answer all 5",IF(COUNTIF(F47:J47,"Y")&gt;0,"High","Low")))</f>
        <v/>
      </c>
      <c r="L47" s="60" t="n"/>
      <c r="M47" s="60" t="n"/>
      <c r="N47" s="60" t="n"/>
      <c r="O47" s="60" t="n"/>
      <c r="P47" s="61">
        <f>IF(OR(B47="",D47="Cut"),"",IF(COUNTA(L47:O47)&lt;4,"Answer all 4",IF(COUNTIF(L47:O47,"Y")&gt;0,"Hard","Easy")))</f>
        <v/>
      </c>
      <c r="Q47" s="60" t="n"/>
      <c r="R47" s="61">
        <f>IF(B47="","",IF(D47="Cut","Cut",IF(Q47="Y","Human",IF(OR(K47="Answer all 5",P47="Answer all 4"),"Score it",IF(K47="High",IF(P47="Hard","Human","Assist"),IF(P47="Hard","Agent","Automate"))))))</f>
        <v/>
      </c>
      <c r="S47" s="60" t="n"/>
      <c r="T47" s="59" t="n"/>
      <c r="U47" s="62" t="n"/>
      <c r="V47" s="57">
        <f>IF(B47="","",IF(R47="Cut","Stop doing this task.",IF(R47="Score it","Answer all nine questions.",IF(AND(R47="Human",Q47&lt;&gt;"Y"),"Confirm it stays Human, or redesign it so it is easier to check and score again.",IF(AND(R47="Agent",S47&lt;&gt;"Y"),"Write the agent job description before it goes live.",IF(T47="","Name an owner.",IF(U47="","Set a review date.","Ready.")))))))</f>
        <v/>
      </c>
    </row>
    <row r="48" ht="15" customHeight="1" s="41">
      <c r="A48" s="57">
        <f>IF(Taxonomy!A48="","",Taxonomy!A48)</f>
        <v/>
      </c>
      <c r="B48" s="57">
        <f>IF(Taxonomy!E48="","",Taxonomy!E48)</f>
        <v/>
      </c>
      <c r="C48" s="58">
        <f>IF(Taxonomy!J48="","",Taxonomy!J48)</f>
        <v/>
      </c>
      <c r="D48" s="57">
        <f>IF(Taxonomy!S48="","",Taxonomy!S48)</f>
        <v/>
      </c>
      <c r="E48" s="59" t="n"/>
      <c r="F48" s="60" t="n"/>
      <c r="G48" s="60" t="n"/>
      <c r="H48" s="60" t="n"/>
      <c r="I48" s="60" t="n"/>
      <c r="J48" s="60" t="n"/>
      <c r="K48" s="61">
        <f>IF(OR(B48="",D48="Cut"),"",IF(COUNTA(F48:J48)&lt;5,"Answer all 5",IF(COUNTIF(F48:J48,"Y")&gt;0,"High","Low")))</f>
        <v/>
      </c>
      <c r="L48" s="60" t="n"/>
      <c r="M48" s="60" t="n"/>
      <c r="N48" s="60" t="n"/>
      <c r="O48" s="60" t="n"/>
      <c r="P48" s="61">
        <f>IF(OR(B48="",D48="Cut"),"",IF(COUNTA(L48:O48)&lt;4,"Answer all 4",IF(COUNTIF(L48:O48,"Y")&gt;0,"Hard","Easy")))</f>
        <v/>
      </c>
      <c r="Q48" s="60" t="n"/>
      <c r="R48" s="61">
        <f>IF(B48="","",IF(D48="Cut","Cut",IF(Q48="Y","Human",IF(OR(K48="Answer all 5",P48="Answer all 4"),"Score it",IF(K48="High",IF(P48="Hard","Human","Assist"),IF(P48="Hard","Agent","Automate"))))))</f>
        <v/>
      </c>
      <c r="S48" s="60" t="n"/>
      <c r="T48" s="59" t="n"/>
      <c r="U48" s="62" t="n"/>
      <c r="V48" s="57">
        <f>IF(B48="","",IF(R48="Cut","Stop doing this task.",IF(R48="Score it","Answer all nine questions.",IF(AND(R48="Human",Q48&lt;&gt;"Y"),"Confirm it stays Human, or redesign it so it is easier to check and score again.",IF(AND(R48="Agent",S48&lt;&gt;"Y"),"Write the agent job description before it goes live.",IF(T48="","Name an owner.",IF(U48="","Set a review date.","Ready.")))))))</f>
        <v/>
      </c>
    </row>
    <row r="49" ht="15" customHeight="1" s="41">
      <c r="A49" s="57">
        <f>IF(Taxonomy!A49="","",Taxonomy!A49)</f>
        <v/>
      </c>
      <c r="B49" s="57">
        <f>IF(Taxonomy!E49="","",Taxonomy!E49)</f>
        <v/>
      </c>
      <c r="C49" s="58">
        <f>IF(Taxonomy!J49="","",Taxonomy!J49)</f>
        <v/>
      </c>
      <c r="D49" s="57">
        <f>IF(Taxonomy!S49="","",Taxonomy!S49)</f>
        <v/>
      </c>
      <c r="E49" s="59" t="n"/>
      <c r="F49" s="60" t="n"/>
      <c r="G49" s="60" t="n"/>
      <c r="H49" s="60" t="n"/>
      <c r="I49" s="60" t="n"/>
      <c r="J49" s="60" t="n"/>
      <c r="K49" s="61">
        <f>IF(OR(B49="",D49="Cut"),"",IF(COUNTA(F49:J49)&lt;5,"Answer all 5",IF(COUNTIF(F49:J49,"Y")&gt;0,"High","Low")))</f>
        <v/>
      </c>
      <c r="L49" s="60" t="n"/>
      <c r="M49" s="60" t="n"/>
      <c r="N49" s="60" t="n"/>
      <c r="O49" s="60" t="n"/>
      <c r="P49" s="61">
        <f>IF(OR(B49="",D49="Cut"),"",IF(COUNTA(L49:O49)&lt;4,"Answer all 4",IF(COUNTIF(L49:O49,"Y")&gt;0,"Hard","Easy")))</f>
        <v/>
      </c>
      <c r="Q49" s="60" t="n"/>
      <c r="R49" s="61">
        <f>IF(B49="","",IF(D49="Cut","Cut",IF(Q49="Y","Human",IF(OR(K49="Answer all 5",P49="Answer all 4"),"Score it",IF(K49="High",IF(P49="Hard","Human","Assist"),IF(P49="Hard","Agent","Automate"))))))</f>
        <v/>
      </c>
      <c r="S49" s="60" t="n"/>
      <c r="T49" s="59" t="n"/>
      <c r="U49" s="62" t="n"/>
      <c r="V49" s="57">
        <f>IF(B49="","",IF(R49="Cut","Stop doing this task.",IF(R49="Score it","Answer all nine questions.",IF(AND(R49="Human",Q49&lt;&gt;"Y"),"Confirm it stays Human, or redesign it so it is easier to check and score again.",IF(AND(R49="Agent",S49&lt;&gt;"Y"),"Write the agent job description before it goes live.",IF(T49="","Name an owner.",IF(U49="","Set a review date.","Ready.")))))))</f>
        <v/>
      </c>
    </row>
    <row r="50" ht="15" customHeight="1" s="41">
      <c r="A50" s="57">
        <f>IF(Taxonomy!A50="","",Taxonomy!A50)</f>
        <v/>
      </c>
      <c r="B50" s="57">
        <f>IF(Taxonomy!E50="","",Taxonomy!E50)</f>
        <v/>
      </c>
      <c r="C50" s="58">
        <f>IF(Taxonomy!J50="","",Taxonomy!J50)</f>
        <v/>
      </c>
      <c r="D50" s="57">
        <f>IF(Taxonomy!S50="","",Taxonomy!S50)</f>
        <v/>
      </c>
      <c r="E50" s="59" t="n"/>
      <c r="F50" s="60" t="n"/>
      <c r="G50" s="60" t="n"/>
      <c r="H50" s="60" t="n"/>
      <c r="I50" s="60" t="n"/>
      <c r="J50" s="60" t="n"/>
      <c r="K50" s="61">
        <f>IF(OR(B50="",D50="Cut"),"",IF(COUNTA(F50:J50)&lt;5,"Answer all 5",IF(COUNTIF(F50:J50,"Y")&gt;0,"High","Low")))</f>
        <v/>
      </c>
      <c r="L50" s="60" t="n"/>
      <c r="M50" s="60" t="n"/>
      <c r="N50" s="60" t="n"/>
      <c r="O50" s="60" t="n"/>
      <c r="P50" s="61">
        <f>IF(OR(B50="",D50="Cut"),"",IF(COUNTA(L50:O50)&lt;4,"Answer all 4",IF(COUNTIF(L50:O50,"Y")&gt;0,"Hard","Easy")))</f>
        <v/>
      </c>
      <c r="Q50" s="60" t="n"/>
      <c r="R50" s="61">
        <f>IF(B50="","",IF(D50="Cut","Cut",IF(Q50="Y","Human",IF(OR(K50="Answer all 5",P50="Answer all 4"),"Score it",IF(K50="High",IF(P50="Hard","Human","Assist"),IF(P50="Hard","Agent","Automate"))))))</f>
        <v/>
      </c>
      <c r="S50" s="60" t="n"/>
      <c r="T50" s="59" t="n"/>
      <c r="U50" s="62" t="n"/>
      <c r="V50" s="57">
        <f>IF(B50="","",IF(R50="Cut","Stop doing this task.",IF(R50="Score it","Answer all nine questions.",IF(AND(R50="Human",Q50&lt;&gt;"Y"),"Confirm it stays Human, or redesign it so it is easier to check and score again.",IF(AND(R50="Agent",S50&lt;&gt;"Y"),"Write the agent job description before it goes live.",IF(T50="","Name an owner.",IF(U50="","Set a review date.","Ready.")))))))</f>
        <v/>
      </c>
    </row>
    <row r="51" ht="15" customHeight="1" s="41">
      <c r="A51" s="57">
        <f>IF(Taxonomy!A51="","",Taxonomy!A51)</f>
        <v/>
      </c>
      <c r="B51" s="57">
        <f>IF(Taxonomy!E51="","",Taxonomy!E51)</f>
        <v/>
      </c>
      <c r="C51" s="58">
        <f>IF(Taxonomy!J51="","",Taxonomy!J51)</f>
        <v/>
      </c>
      <c r="D51" s="57">
        <f>IF(Taxonomy!S51="","",Taxonomy!S51)</f>
        <v/>
      </c>
      <c r="E51" s="59" t="n"/>
      <c r="F51" s="60" t="n"/>
      <c r="G51" s="60" t="n"/>
      <c r="H51" s="60" t="n"/>
      <c r="I51" s="60" t="n"/>
      <c r="J51" s="60" t="n"/>
      <c r="K51" s="61">
        <f>IF(OR(B51="",D51="Cut"),"",IF(COUNTA(F51:J51)&lt;5,"Answer all 5",IF(COUNTIF(F51:J51,"Y")&gt;0,"High","Low")))</f>
        <v/>
      </c>
      <c r="L51" s="60" t="n"/>
      <c r="M51" s="60" t="n"/>
      <c r="N51" s="60" t="n"/>
      <c r="O51" s="60" t="n"/>
      <c r="P51" s="61">
        <f>IF(OR(B51="",D51="Cut"),"",IF(COUNTA(L51:O51)&lt;4,"Answer all 4",IF(COUNTIF(L51:O51,"Y")&gt;0,"Hard","Easy")))</f>
        <v/>
      </c>
      <c r="Q51" s="60" t="n"/>
      <c r="R51" s="61">
        <f>IF(B51="","",IF(D51="Cut","Cut",IF(Q51="Y","Human",IF(OR(K51="Answer all 5",P51="Answer all 4"),"Score it",IF(K51="High",IF(P51="Hard","Human","Assist"),IF(P51="Hard","Agent","Automate"))))))</f>
        <v/>
      </c>
      <c r="S51" s="60" t="n"/>
      <c r="T51" s="59" t="n"/>
      <c r="U51" s="62" t="n"/>
      <c r="V51" s="57">
        <f>IF(B51="","",IF(R51="Cut","Stop doing this task.",IF(R51="Score it","Answer all nine questions.",IF(AND(R51="Human",Q51&lt;&gt;"Y"),"Confirm it stays Human, or redesign it so it is easier to check and score again.",IF(AND(R51="Agent",S51&lt;&gt;"Y"),"Write the agent job description before it goes live.",IF(T51="","Name an owner.",IF(U51="","Set a review date.","Ready.")))))))</f>
        <v/>
      </c>
    </row>
    <row r="52" ht="15" customHeight="1" s="41">
      <c r="A52" s="57">
        <f>IF(Taxonomy!A52="","",Taxonomy!A52)</f>
        <v/>
      </c>
      <c r="B52" s="57">
        <f>IF(Taxonomy!E52="","",Taxonomy!E52)</f>
        <v/>
      </c>
      <c r="C52" s="58">
        <f>IF(Taxonomy!J52="","",Taxonomy!J52)</f>
        <v/>
      </c>
      <c r="D52" s="57">
        <f>IF(Taxonomy!S52="","",Taxonomy!S52)</f>
        <v/>
      </c>
      <c r="E52" s="59" t="n"/>
      <c r="F52" s="60" t="n"/>
      <c r="G52" s="60" t="n"/>
      <c r="H52" s="60" t="n"/>
      <c r="I52" s="60" t="n"/>
      <c r="J52" s="60" t="n"/>
      <c r="K52" s="61">
        <f>IF(OR(B52="",D52="Cut"),"",IF(COUNTA(F52:J52)&lt;5,"Answer all 5",IF(COUNTIF(F52:J52,"Y")&gt;0,"High","Low")))</f>
        <v/>
      </c>
      <c r="L52" s="60" t="n"/>
      <c r="M52" s="60" t="n"/>
      <c r="N52" s="60" t="n"/>
      <c r="O52" s="60" t="n"/>
      <c r="P52" s="61">
        <f>IF(OR(B52="",D52="Cut"),"",IF(COUNTA(L52:O52)&lt;4,"Answer all 4",IF(COUNTIF(L52:O52,"Y")&gt;0,"Hard","Easy")))</f>
        <v/>
      </c>
      <c r="Q52" s="60" t="n"/>
      <c r="R52" s="61">
        <f>IF(B52="","",IF(D52="Cut","Cut",IF(Q52="Y","Human",IF(OR(K52="Answer all 5",P52="Answer all 4"),"Score it",IF(K52="High",IF(P52="Hard","Human","Assist"),IF(P52="Hard","Agent","Automate"))))))</f>
        <v/>
      </c>
      <c r="S52" s="60" t="n"/>
      <c r="T52" s="59" t="n"/>
      <c r="U52" s="62" t="n"/>
      <c r="V52" s="57">
        <f>IF(B52="","",IF(R52="Cut","Stop doing this task.",IF(R52="Score it","Answer all nine questions.",IF(AND(R52="Human",Q52&lt;&gt;"Y"),"Confirm it stays Human, or redesign it so it is easier to check and score again.",IF(AND(R52="Agent",S52&lt;&gt;"Y"),"Write the agent job description before it goes live.",IF(T52="","Name an owner.",IF(U52="","Set a review date.","Ready.")))))))</f>
        <v/>
      </c>
    </row>
    <row r="53" ht="15" customHeight="1" s="41">
      <c r="A53" s="57">
        <f>IF(Taxonomy!A53="","",Taxonomy!A53)</f>
        <v/>
      </c>
      <c r="B53" s="57">
        <f>IF(Taxonomy!E53="","",Taxonomy!E53)</f>
        <v/>
      </c>
      <c r="C53" s="58">
        <f>IF(Taxonomy!J53="","",Taxonomy!J53)</f>
        <v/>
      </c>
      <c r="D53" s="57">
        <f>IF(Taxonomy!S53="","",Taxonomy!S53)</f>
        <v/>
      </c>
      <c r="E53" s="59" t="n"/>
      <c r="F53" s="60" t="n"/>
      <c r="G53" s="60" t="n"/>
      <c r="H53" s="60" t="n"/>
      <c r="I53" s="60" t="n"/>
      <c r="J53" s="60" t="n"/>
      <c r="K53" s="61">
        <f>IF(OR(B53="",D53="Cut"),"",IF(COUNTA(F53:J53)&lt;5,"Answer all 5",IF(COUNTIF(F53:J53,"Y")&gt;0,"High","Low")))</f>
        <v/>
      </c>
      <c r="L53" s="60" t="n"/>
      <c r="M53" s="60" t="n"/>
      <c r="N53" s="60" t="n"/>
      <c r="O53" s="60" t="n"/>
      <c r="P53" s="61">
        <f>IF(OR(B53="",D53="Cut"),"",IF(COUNTA(L53:O53)&lt;4,"Answer all 4",IF(COUNTIF(L53:O53,"Y")&gt;0,"Hard","Easy")))</f>
        <v/>
      </c>
      <c r="Q53" s="60" t="n"/>
      <c r="R53" s="61">
        <f>IF(B53="","",IF(D53="Cut","Cut",IF(Q53="Y","Human",IF(OR(K53="Answer all 5",P53="Answer all 4"),"Score it",IF(K53="High",IF(P53="Hard","Human","Assist"),IF(P53="Hard","Agent","Automate"))))))</f>
        <v/>
      </c>
      <c r="S53" s="60" t="n"/>
      <c r="T53" s="59" t="n"/>
      <c r="U53" s="62" t="n"/>
      <c r="V53" s="57">
        <f>IF(B53="","",IF(R53="Cut","Stop doing this task.",IF(R53="Score it","Answer all nine questions.",IF(AND(R53="Human",Q53&lt;&gt;"Y"),"Confirm it stays Human, or redesign it so it is easier to check and score again.",IF(AND(R53="Agent",S53&lt;&gt;"Y"),"Write the agent job description before it goes live.",IF(T53="","Name an owner.",IF(U53="","Set a review date.","Ready.")))))))</f>
        <v/>
      </c>
    </row>
    <row r="54" ht="15" customHeight="1" s="41">
      <c r="A54" s="57">
        <f>IF(Taxonomy!A54="","",Taxonomy!A54)</f>
        <v/>
      </c>
      <c r="B54" s="57">
        <f>IF(Taxonomy!E54="","",Taxonomy!E54)</f>
        <v/>
      </c>
      <c r="C54" s="58">
        <f>IF(Taxonomy!J54="","",Taxonomy!J54)</f>
        <v/>
      </c>
      <c r="D54" s="57">
        <f>IF(Taxonomy!S54="","",Taxonomy!S54)</f>
        <v/>
      </c>
      <c r="E54" s="59" t="n"/>
      <c r="F54" s="60" t="n"/>
      <c r="G54" s="60" t="n"/>
      <c r="H54" s="60" t="n"/>
      <c r="I54" s="60" t="n"/>
      <c r="J54" s="60" t="n"/>
      <c r="K54" s="61">
        <f>IF(OR(B54="",D54="Cut"),"",IF(COUNTA(F54:J54)&lt;5,"Answer all 5",IF(COUNTIF(F54:J54,"Y")&gt;0,"High","Low")))</f>
        <v/>
      </c>
      <c r="L54" s="60" t="n"/>
      <c r="M54" s="60" t="n"/>
      <c r="N54" s="60" t="n"/>
      <c r="O54" s="60" t="n"/>
      <c r="P54" s="61">
        <f>IF(OR(B54="",D54="Cut"),"",IF(COUNTA(L54:O54)&lt;4,"Answer all 4",IF(COUNTIF(L54:O54,"Y")&gt;0,"Hard","Easy")))</f>
        <v/>
      </c>
      <c r="Q54" s="60" t="n"/>
      <c r="R54" s="61">
        <f>IF(B54="","",IF(D54="Cut","Cut",IF(Q54="Y","Human",IF(OR(K54="Answer all 5",P54="Answer all 4"),"Score it",IF(K54="High",IF(P54="Hard","Human","Assist"),IF(P54="Hard","Agent","Automate"))))))</f>
        <v/>
      </c>
      <c r="S54" s="60" t="n"/>
      <c r="T54" s="59" t="n"/>
      <c r="U54" s="62" t="n"/>
      <c r="V54" s="57">
        <f>IF(B54="","",IF(R54="Cut","Stop doing this task.",IF(R54="Score it","Answer all nine questions.",IF(AND(R54="Human",Q54&lt;&gt;"Y"),"Confirm it stays Human, or redesign it so it is easier to check and score again.",IF(AND(R54="Agent",S54&lt;&gt;"Y"),"Write the agent job description before it goes live.",IF(T54="","Name an owner.",IF(U54="","Set a review date.","Ready.")))))))</f>
        <v/>
      </c>
    </row>
    <row r="55" ht="15" customHeight="1" s="41">
      <c r="A55" s="57">
        <f>IF(Taxonomy!A55="","",Taxonomy!A55)</f>
        <v/>
      </c>
      <c r="B55" s="57">
        <f>IF(Taxonomy!E55="","",Taxonomy!E55)</f>
        <v/>
      </c>
      <c r="C55" s="58">
        <f>IF(Taxonomy!J55="","",Taxonomy!J55)</f>
        <v/>
      </c>
      <c r="D55" s="57">
        <f>IF(Taxonomy!S55="","",Taxonomy!S55)</f>
        <v/>
      </c>
      <c r="E55" s="59" t="n"/>
      <c r="F55" s="60" t="n"/>
      <c r="G55" s="60" t="n"/>
      <c r="H55" s="60" t="n"/>
      <c r="I55" s="60" t="n"/>
      <c r="J55" s="60" t="n"/>
      <c r="K55" s="61">
        <f>IF(OR(B55="",D55="Cut"),"",IF(COUNTA(F55:J55)&lt;5,"Answer all 5",IF(COUNTIF(F55:J55,"Y")&gt;0,"High","Low")))</f>
        <v/>
      </c>
      <c r="L55" s="60" t="n"/>
      <c r="M55" s="60" t="n"/>
      <c r="N55" s="60" t="n"/>
      <c r="O55" s="60" t="n"/>
      <c r="P55" s="61">
        <f>IF(OR(B55="",D55="Cut"),"",IF(COUNTA(L55:O55)&lt;4,"Answer all 4",IF(COUNTIF(L55:O55,"Y")&gt;0,"Hard","Easy")))</f>
        <v/>
      </c>
      <c r="Q55" s="60" t="n"/>
      <c r="R55" s="61">
        <f>IF(B55="","",IF(D55="Cut","Cut",IF(Q55="Y","Human",IF(OR(K55="Answer all 5",P55="Answer all 4"),"Score it",IF(K55="High",IF(P55="Hard","Human","Assist"),IF(P55="Hard","Agent","Automate"))))))</f>
        <v/>
      </c>
      <c r="S55" s="60" t="n"/>
      <c r="T55" s="59" t="n"/>
      <c r="U55" s="62" t="n"/>
      <c r="V55" s="57">
        <f>IF(B55="","",IF(R55="Cut","Stop doing this task.",IF(R55="Score it","Answer all nine questions.",IF(AND(R55="Human",Q55&lt;&gt;"Y"),"Confirm it stays Human, or redesign it so it is easier to check and score again.",IF(AND(R55="Agent",S55&lt;&gt;"Y"),"Write the agent job description before it goes live.",IF(T55="","Name an owner.",IF(U55="","Set a review date.","Ready.")))))))</f>
        <v/>
      </c>
    </row>
    <row r="56" ht="15" customHeight="1" s="41">
      <c r="A56" s="57">
        <f>IF(Taxonomy!A56="","",Taxonomy!A56)</f>
        <v/>
      </c>
      <c r="B56" s="57">
        <f>IF(Taxonomy!E56="","",Taxonomy!E56)</f>
        <v/>
      </c>
      <c r="C56" s="58">
        <f>IF(Taxonomy!J56="","",Taxonomy!J56)</f>
        <v/>
      </c>
      <c r="D56" s="57">
        <f>IF(Taxonomy!S56="","",Taxonomy!S56)</f>
        <v/>
      </c>
      <c r="E56" s="59" t="n"/>
      <c r="F56" s="60" t="n"/>
      <c r="G56" s="60" t="n"/>
      <c r="H56" s="60" t="n"/>
      <c r="I56" s="60" t="n"/>
      <c r="J56" s="60" t="n"/>
      <c r="K56" s="61">
        <f>IF(OR(B56="",D56="Cut"),"",IF(COUNTA(F56:J56)&lt;5,"Answer all 5",IF(COUNTIF(F56:J56,"Y")&gt;0,"High","Low")))</f>
        <v/>
      </c>
      <c r="L56" s="60" t="n"/>
      <c r="M56" s="60" t="n"/>
      <c r="N56" s="60" t="n"/>
      <c r="O56" s="60" t="n"/>
      <c r="P56" s="61">
        <f>IF(OR(B56="",D56="Cut"),"",IF(COUNTA(L56:O56)&lt;4,"Answer all 4",IF(COUNTIF(L56:O56,"Y")&gt;0,"Hard","Easy")))</f>
        <v/>
      </c>
      <c r="Q56" s="60" t="n"/>
      <c r="R56" s="61">
        <f>IF(B56="","",IF(D56="Cut","Cut",IF(Q56="Y","Human",IF(OR(K56="Answer all 5",P56="Answer all 4"),"Score it",IF(K56="High",IF(P56="Hard","Human","Assist"),IF(P56="Hard","Agent","Automate"))))))</f>
        <v/>
      </c>
      <c r="S56" s="60" t="n"/>
      <c r="T56" s="59" t="n"/>
      <c r="U56" s="62" t="n"/>
      <c r="V56" s="57">
        <f>IF(B56="","",IF(R56="Cut","Stop doing this task.",IF(R56="Score it","Answer all nine questions.",IF(AND(R56="Human",Q56&lt;&gt;"Y"),"Confirm it stays Human, or redesign it so it is easier to check and score again.",IF(AND(R56="Agent",S56&lt;&gt;"Y"),"Write the agent job description before it goes live.",IF(T56="","Name an owner.",IF(U56="","Set a review date.","Ready.")))))))</f>
        <v/>
      </c>
    </row>
    <row r="57" ht="15" customHeight="1" s="41">
      <c r="A57" s="57">
        <f>IF(Taxonomy!A57="","",Taxonomy!A57)</f>
        <v/>
      </c>
      <c r="B57" s="57">
        <f>IF(Taxonomy!E57="","",Taxonomy!E57)</f>
        <v/>
      </c>
      <c r="C57" s="58">
        <f>IF(Taxonomy!J57="","",Taxonomy!J57)</f>
        <v/>
      </c>
      <c r="D57" s="57">
        <f>IF(Taxonomy!S57="","",Taxonomy!S57)</f>
        <v/>
      </c>
      <c r="E57" s="59" t="n"/>
      <c r="F57" s="60" t="n"/>
      <c r="G57" s="60" t="n"/>
      <c r="H57" s="60" t="n"/>
      <c r="I57" s="60" t="n"/>
      <c r="J57" s="60" t="n"/>
      <c r="K57" s="61">
        <f>IF(OR(B57="",D57="Cut"),"",IF(COUNTA(F57:J57)&lt;5,"Answer all 5",IF(COUNTIF(F57:J57,"Y")&gt;0,"High","Low")))</f>
        <v/>
      </c>
      <c r="L57" s="60" t="n"/>
      <c r="M57" s="60" t="n"/>
      <c r="N57" s="60" t="n"/>
      <c r="O57" s="60" t="n"/>
      <c r="P57" s="61">
        <f>IF(OR(B57="",D57="Cut"),"",IF(COUNTA(L57:O57)&lt;4,"Answer all 4",IF(COUNTIF(L57:O57,"Y")&gt;0,"Hard","Easy")))</f>
        <v/>
      </c>
      <c r="Q57" s="60" t="n"/>
      <c r="R57" s="61">
        <f>IF(B57="","",IF(D57="Cut","Cut",IF(Q57="Y","Human",IF(OR(K57="Answer all 5",P57="Answer all 4"),"Score it",IF(K57="High",IF(P57="Hard","Human","Assist"),IF(P57="Hard","Agent","Automate"))))))</f>
        <v/>
      </c>
      <c r="S57" s="60" t="n"/>
      <c r="T57" s="59" t="n"/>
      <c r="U57" s="62" t="n"/>
      <c r="V57" s="57">
        <f>IF(B57="","",IF(R57="Cut","Stop doing this task.",IF(R57="Score it","Answer all nine questions.",IF(AND(R57="Human",Q57&lt;&gt;"Y"),"Confirm it stays Human, or redesign it so it is easier to check and score again.",IF(AND(R57="Agent",S57&lt;&gt;"Y"),"Write the agent job description before it goes live.",IF(T57="","Name an owner.",IF(U57="","Set a review date.","Ready.")))))))</f>
        <v/>
      </c>
    </row>
    <row r="58" ht="15" customHeight="1" s="41">
      <c r="A58" s="57">
        <f>IF(Taxonomy!A58="","",Taxonomy!A58)</f>
        <v/>
      </c>
      <c r="B58" s="57">
        <f>IF(Taxonomy!E58="","",Taxonomy!E58)</f>
        <v/>
      </c>
      <c r="C58" s="58">
        <f>IF(Taxonomy!J58="","",Taxonomy!J58)</f>
        <v/>
      </c>
      <c r="D58" s="57">
        <f>IF(Taxonomy!S58="","",Taxonomy!S58)</f>
        <v/>
      </c>
      <c r="E58" s="59" t="n"/>
      <c r="F58" s="60" t="n"/>
      <c r="G58" s="60" t="n"/>
      <c r="H58" s="60" t="n"/>
      <c r="I58" s="60" t="n"/>
      <c r="J58" s="60" t="n"/>
      <c r="K58" s="61">
        <f>IF(OR(B58="",D58="Cut"),"",IF(COUNTA(F58:J58)&lt;5,"Answer all 5",IF(COUNTIF(F58:J58,"Y")&gt;0,"High","Low")))</f>
        <v/>
      </c>
      <c r="L58" s="60" t="n"/>
      <c r="M58" s="60" t="n"/>
      <c r="N58" s="60" t="n"/>
      <c r="O58" s="60" t="n"/>
      <c r="P58" s="61">
        <f>IF(OR(B58="",D58="Cut"),"",IF(COUNTA(L58:O58)&lt;4,"Answer all 4",IF(COUNTIF(L58:O58,"Y")&gt;0,"Hard","Easy")))</f>
        <v/>
      </c>
      <c r="Q58" s="60" t="n"/>
      <c r="R58" s="61">
        <f>IF(B58="","",IF(D58="Cut","Cut",IF(Q58="Y","Human",IF(OR(K58="Answer all 5",P58="Answer all 4"),"Score it",IF(K58="High",IF(P58="Hard","Human","Assist"),IF(P58="Hard","Agent","Automate"))))))</f>
        <v/>
      </c>
      <c r="S58" s="60" t="n"/>
      <c r="T58" s="59" t="n"/>
      <c r="U58" s="62" t="n"/>
      <c r="V58" s="57">
        <f>IF(B58="","",IF(R58="Cut","Stop doing this task.",IF(R58="Score it","Answer all nine questions.",IF(AND(R58="Human",Q58&lt;&gt;"Y"),"Confirm it stays Human, or redesign it so it is easier to check and score again.",IF(AND(R58="Agent",S58&lt;&gt;"Y"),"Write the agent job description before it goes live.",IF(T58="","Name an owner.",IF(U58="","Set a review date.","Ready.")))))))</f>
        <v/>
      </c>
    </row>
    <row r="59" ht="15" customHeight="1" s="41">
      <c r="A59" s="57">
        <f>IF(Taxonomy!A59="","",Taxonomy!A59)</f>
        <v/>
      </c>
      <c r="B59" s="57">
        <f>IF(Taxonomy!E59="","",Taxonomy!E59)</f>
        <v/>
      </c>
      <c r="C59" s="58">
        <f>IF(Taxonomy!J59="","",Taxonomy!J59)</f>
        <v/>
      </c>
      <c r="D59" s="57">
        <f>IF(Taxonomy!S59="","",Taxonomy!S59)</f>
        <v/>
      </c>
      <c r="E59" s="59" t="n"/>
      <c r="F59" s="60" t="n"/>
      <c r="G59" s="60" t="n"/>
      <c r="H59" s="60" t="n"/>
      <c r="I59" s="60" t="n"/>
      <c r="J59" s="60" t="n"/>
      <c r="K59" s="61">
        <f>IF(OR(B59="",D59="Cut"),"",IF(COUNTA(F59:J59)&lt;5,"Answer all 5",IF(COUNTIF(F59:J59,"Y")&gt;0,"High","Low")))</f>
        <v/>
      </c>
      <c r="L59" s="60" t="n"/>
      <c r="M59" s="60" t="n"/>
      <c r="N59" s="60" t="n"/>
      <c r="O59" s="60" t="n"/>
      <c r="P59" s="61">
        <f>IF(OR(B59="",D59="Cut"),"",IF(COUNTA(L59:O59)&lt;4,"Answer all 4",IF(COUNTIF(L59:O59,"Y")&gt;0,"Hard","Easy")))</f>
        <v/>
      </c>
      <c r="Q59" s="60" t="n"/>
      <c r="R59" s="61">
        <f>IF(B59="","",IF(D59="Cut","Cut",IF(Q59="Y","Human",IF(OR(K59="Answer all 5",P59="Answer all 4"),"Score it",IF(K59="High",IF(P59="Hard","Human","Assist"),IF(P59="Hard","Agent","Automate"))))))</f>
        <v/>
      </c>
      <c r="S59" s="60" t="n"/>
      <c r="T59" s="59" t="n"/>
      <c r="U59" s="62" t="n"/>
      <c r="V59" s="57">
        <f>IF(B59="","",IF(R59="Cut","Stop doing this task.",IF(R59="Score it","Answer all nine questions.",IF(AND(R59="Human",Q59&lt;&gt;"Y"),"Confirm it stays Human, or redesign it so it is easier to check and score again.",IF(AND(R59="Agent",S59&lt;&gt;"Y"),"Write the agent job description before it goes live.",IF(T59="","Name an owner.",IF(U59="","Set a review date.","Ready.")))))))</f>
        <v/>
      </c>
    </row>
    <row r="60" ht="15" customHeight="1" s="41">
      <c r="A60" s="57">
        <f>IF(Taxonomy!A60="","",Taxonomy!A60)</f>
        <v/>
      </c>
      <c r="B60" s="57">
        <f>IF(Taxonomy!E60="","",Taxonomy!E60)</f>
        <v/>
      </c>
      <c r="C60" s="58">
        <f>IF(Taxonomy!J60="","",Taxonomy!J60)</f>
        <v/>
      </c>
      <c r="D60" s="57">
        <f>IF(Taxonomy!S60="","",Taxonomy!S60)</f>
        <v/>
      </c>
      <c r="E60" s="59" t="n"/>
      <c r="F60" s="60" t="n"/>
      <c r="G60" s="60" t="n"/>
      <c r="H60" s="60" t="n"/>
      <c r="I60" s="60" t="n"/>
      <c r="J60" s="60" t="n"/>
      <c r="K60" s="61">
        <f>IF(OR(B60="",D60="Cut"),"",IF(COUNTA(F60:J60)&lt;5,"Answer all 5",IF(COUNTIF(F60:J60,"Y")&gt;0,"High","Low")))</f>
        <v/>
      </c>
      <c r="L60" s="60" t="n"/>
      <c r="M60" s="60" t="n"/>
      <c r="N60" s="60" t="n"/>
      <c r="O60" s="60" t="n"/>
      <c r="P60" s="61">
        <f>IF(OR(B60="",D60="Cut"),"",IF(COUNTA(L60:O60)&lt;4,"Answer all 4",IF(COUNTIF(L60:O60,"Y")&gt;0,"Hard","Easy")))</f>
        <v/>
      </c>
      <c r="Q60" s="60" t="n"/>
      <c r="R60" s="61">
        <f>IF(B60="","",IF(D60="Cut","Cut",IF(Q60="Y","Human",IF(OR(K60="Answer all 5",P60="Answer all 4"),"Score it",IF(K60="High",IF(P60="Hard","Human","Assist"),IF(P60="Hard","Agent","Automate"))))))</f>
        <v/>
      </c>
      <c r="S60" s="60" t="n"/>
      <c r="T60" s="59" t="n"/>
      <c r="U60" s="62" t="n"/>
      <c r="V60" s="57">
        <f>IF(B60="","",IF(R60="Cut","Stop doing this task.",IF(R60="Score it","Answer all nine questions.",IF(AND(R60="Human",Q60&lt;&gt;"Y"),"Confirm it stays Human, or redesign it so it is easier to check and score again.",IF(AND(R60="Agent",S60&lt;&gt;"Y"),"Write the agent job description before it goes live.",IF(T60="","Name an owner.",IF(U60="","Set a review date.","Ready.")))))))</f>
        <v/>
      </c>
    </row>
    <row r="61" ht="15" customHeight="1" s="41">
      <c r="A61" s="57">
        <f>IF(Taxonomy!A61="","",Taxonomy!A61)</f>
        <v/>
      </c>
      <c r="B61" s="57">
        <f>IF(Taxonomy!E61="","",Taxonomy!E61)</f>
        <v/>
      </c>
      <c r="C61" s="58">
        <f>IF(Taxonomy!J61="","",Taxonomy!J61)</f>
        <v/>
      </c>
      <c r="D61" s="57">
        <f>IF(Taxonomy!S61="","",Taxonomy!S61)</f>
        <v/>
      </c>
      <c r="E61" s="59" t="n"/>
      <c r="F61" s="60" t="n"/>
      <c r="G61" s="60" t="n"/>
      <c r="H61" s="60" t="n"/>
      <c r="I61" s="60" t="n"/>
      <c r="J61" s="60" t="n"/>
      <c r="K61" s="61">
        <f>IF(OR(B61="",D61="Cut"),"",IF(COUNTA(F61:J61)&lt;5,"Answer all 5",IF(COUNTIF(F61:J61,"Y")&gt;0,"High","Low")))</f>
        <v/>
      </c>
      <c r="L61" s="60" t="n"/>
      <c r="M61" s="60" t="n"/>
      <c r="N61" s="60" t="n"/>
      <c r="O61" s="60" t="n"/>
      <c r="P61" s="61">
        <f>IF(OR(B61="",D61="Cut"),"",IF(COUNTA(L61:O61)&lt;4,"Answer all 4",IF(COUNTIF(L61:O61,"Y")&gt;0,"Hard","Easy")))</f>
        <v/>
      </c>
      <c r="Q61" s="60" t="n"/>
      <c r="R61" s="61">
        <f>IF(B61="","",IF(D61="Cut","Cut",IF(Q61="Y","Human",IF(OR(K61="Answer all 5",P61="Answer all 4"),"Score it",IF(K61="High",IF(P61="Hard","Human","Assist"),IF(P61="Hard","Agent","Automate"))))))</f>
        <v/>
      </c>
      <c r="S61" s="60" t="n"/>
      <c r="T61" s="59" t="n"/>
      <c r="U61" s="62" t="n"/>
      <c r="V61" s="57">
        <f>IF(B61="","",IF(R61="Cut","Stop doing this task.",IF(R61="Score it","Answer all nine questions.",IF(AND(R61="Human",Q61&lt;&gt;"Y"),"Confirm it stays Human, or redesign it so it is easier to check and score again.",IF(AND(R61="Agent",S61&lt;&gt;"Y"),"Write the agent job description before it goes live.",IF(T61="","Name an owner.",IF(U61="","Set a review date.","Ready.")))))))</f>
        <v/>
      </c>
    </row>
    <row r="62" ht="15" customHeight="1" s="41">
      <c r="A62" s="57">
        <f>IF(Taxonomy!A62="","",Taxonomy!A62)</f>
        <v/>
      </c>
      <c r="B62" s="57">
        <f>IF(Taxonomy!E62="","",Taxonomy!E62)</f>
        <v/>
      </c>
      <c r="C62" s="58">
        <f>IF(Taxonomy!J62="","",Taxonomy!J62)</f>
        <v/>
      </c>
      <c r="D62" s="57">
        <f>IF(Taxonomy!S62="","",Taxonomy!S62)</f>
        <v/>
      </c>
      <c r="E62" s="59" t="n"/>
      <c r="F62" s="60" t="n"/>
      <c r="G62" s="60" t="n"/>
      <c r="H62" s="60" t="n"/>
      <c r="I62" s="60" t="n"/>
      <c r="J62" s="60" t="n"/>
      <c r="K62" s="61">
        <f>IF(OR(B62="",D62="Cut"),"",IF(COUNTA(F62:J62)&lt;5,"Answer all 5",IF(COUNTIF(F62:J62,"Y")&gt;0,"High","Low")))</f>
        <v/>
      </c>
      <c r="L62" s="60" t="n"/>
      <c r="M62" s="60" t="n"/>
      <c r="N62" s="60" t="n"/>
      <c r="O62" s="60" t="n"/>
      <c r="P62" s="61">
        <f>IF(OR(B62="",D62="Cut"),"",IF(COUNTA(L62:O62)&lt;4,"Answer all 4",IF(COUNTIF(L62:O62,"Y")&gt;0,"Hard","Easy")))</f>
        <v/>
      </c>
      <c r="Q62" s="60" t="n"/>
      <c r="R62" s="61">
        <f>IF(B62="","",IF(D62="Cut","Cut",IF(Q62="Y","Human",IF(OR(K62="Answer all 5",P62="Answer all 4"),"Score it",IF(K62="High",IF(P62="Hard","Human","Assist"),IF(P62="Hard","Agent","Automate"))))))</f>
        <v/>
      </c>
      <c r="S62" s="60" t="n"/>
      <c r="T62" s="59" t="n"/>
      <c r="U62" s="62" t="n"/>
      <c r="V62" s="57">
        <f>IF(B62="","",IF(R62="Cut","Stop doing this task.",IF(R62="Score it","Answer all nine questions.",IF(AND(R62="Human",Q62&lt;&gt;"Y"),"Confirm it stays Human, or redesign it so it is easier to check and score again.",IF(AND(R62="Agent",S62&lt;&gt;"Y"),"Write the agent job description before it goes live.",IF(T62="","Name an owner.",IF(U62="","Set a review date.","Ready.")))))))</f>
        <v/>
      </c>
    </row>
    <row r="63" ht="15" customHeight="1" s="41">
      <c r="A63" s="57">
        <f>IF(Taxonomy!A63="","",Taxonomy!A63)</f>
        <v/>
      </c>
      <c r="B63" s="57">
        <f>IF(Taxonomy!E63="","",Taxonomy!E63)</f>
        <v/>
      </c>
      <c r="C63" s="58">
        <f>IF(Taxonomy!J63="","",Taxonomy!J63)</f>
        <v/>
      </c>
      <c r="D63" s="57">
        <f>IF(Taxonomy!S63="","",Taxonomy!S63)</f>
        <v/>
      </c>
      <c r="E63" s="59" t="n"/>
      <c r="F63" s="60" t="n"/>
      <c r="G63" s="60" t="n"/>
      <c r="H63" s="60" t="n"/>
      <c r="I63" s="60" t="n"/>
      <c r="J63" s="60" t="n"/>
      <c r="K63" s="61">
        <f>IF(OR(B63="",D63="Cut"),"",IF(COUNTA(F63:J63)&lt;5,"Answer all 5",IF(COUNTIF(F63:J63,"Y")&gt;0,"High","Low")))</f>
        <v/>
      </c>
      <c r="L63" s="60" t="n"/>
      <c r="M63" s="60" t="n"/>
      <c r="N63" s="60" t="n"/>
      <c r="O63" s="60" t="n"/>
      <c r="P63" s="61">
        <f>IF(OR(B63="",D63="Cut"),"",IF(COUNTA(L63:O63)&lt;4,"Answer all 4",IF(COUNTIF(L63:O63,"Y")&gt;0,"Hard","Easy")))</f>
        <v/>
      </c>
      <c r="Q63" s="60" t="n"/>
      <c r="R63" s="61">
        <f>IF(B63="","",IF(D63="Cut","Cut",IF(Q63="Y","Human",IF(OR(K63="Answer all 5",P63="Answer all 4"),"Score it",IF(K63="High",IF(P63="Hard","Human","Assist"),IF(P63="Hard","Agent","Automate"))))))</f>
        <v/>
      </c>
      <c r="S63" s="60" t="n"/>
      <c r="T63" s="59" t="n"/>
      <c r="U63" s="62" t="n"/>
      <c r="V63" s="57">
        <f>IF(B63="","",IF(R63="Cut","Stop doing this task.",IF(R63="Score it","Answer all nine questions.",IF(AND(R63="Human",Q63&lt;&gt;"Y"),"Confirm it stays Human, or redesign it so it is easier to check and score again.",IF(AND(R63="Agent",S63&lt;&gt;"Y"),"Write the agent job description before it goes live.",IF(T63="","Name an owner.",IF(U63="","Set a review date.","Ready.")))))))</f>
        <v/>
      </c>
    </row>
    <row r="64" ht="15" customHeight="1" s="41">
      <c r="A64" s="57">
        <f>IF(Taxonomy!A64="","",Taxonomy!A64)</f>
        <v/>
      </c>
      <c r="B64" s="57">
        <f>IF(Taxonomy!E64="","",Taxonomy!E64)</f>
        <v/>
      </c>
      <c r="C64" s="58">
        <f>IF(Taxonomy!J64="","",Taxonomy!J64)</f>
        <v/>
      </c>
      <c r="D64" s="57">
        <f>IF(Taxonomy!S64="","",Taxonomy!S64)</f>
        <v/>
      </c>
      <c r="E64" s="59" t="n"/>
      <c r="F64" s="60" t="n"/>
      <c r="G64" s="60" t="n"/>
      <c r="H64" s="60" t="n"/>
      <c r="I64" s="60" t="n"/>
      <c r="J64" s="60" t="n"/>
      <c r="K64" s="61">
        <f>IF(OR(B64="",D64="Cut"),"",IF(COUNTA(F64:J64)&lt;5,"Answer all 5",IF(COUNTIF(F64:J64,"Y")&gt;0,"High","Low")))</f>
        <v/>
      </c>
      <c r="L64" s="60" t="n"/>
      <c r="M64" s="60" t="n"/>
      <c r="N64" s="60" t="n"/>
      <c r="O64" s="60" t="n"/>
      <c r="P64" s="61">
        <f>IF(OR(B64="",D64="Cut"),"",IF(COUNTA(L64:O64)&lt;4,"Answer all 4",IF(COUNTIF(L64:O64,"Y")&gt;0,"Hard","Easy")))</f>
        <v/>
      </c>
      <c r="Q64" s="60" t="n"/>
      <c r="R64" s="61">
        <f>IF(B64="","",IF(D64="Cut","Cut",IF(Q64="Y","Human",IF(OR(K64="Answer all 5",P64="Answer all 4"),"Score it",IF(K64="High",IF(P64="Hard","Human","Assist"),IF(P64="Hard","Agent","Automate"))))))</f>
        <v/>
      </c>
      <c r="S64" s="60" t="n"/>
      <c r="T64" s="59" t="n"/>
      <c r="U64" s="62" t="n"/>
      <c r="V64" s="57">
        <f>IF(B64="","",IF(R64="Cut","Stop doing this task.",IF(R64="Score it","Answer all nine questions.",IF(AND(R64="Human",Q64&lt;&gt;"Y"),"Confirm it stays Human, or redesign it so it is easier to check and score again.",IF(AND(R64="Agent",S64&lt;&gt;"Y"),"Write the agent job description before it goes live.",IF(T64="","Name an owner.",IF(U64="","Set a review date.","Ready.")))))))</f>
        <v/>
      </c>
    </row>
    <row r="65" ht="15" customHeight="1" s="41">
      <c r="A65" s="57">
        <f>IF(Taxonomy!A65="","",Taxonomy!A65)</f>
        <v/>
      </c>
      <c r="B65" s="57">
        <f>IF(Taxonomy!E65="","",Taxonomy!E65)</f>
        <v/>
      </c>
      <c r="C65" s="58">
        <f>IF(Taxonomy!J65="","",Taxonomy!J65)</f>
        <v/>
      </c>
      <c r="D65" s="57">
        <f>IF(Taxonomy!S65="","",Taxonomy!S65)</f>
        <v/>
      </c>
      <c r="E65" s="59" t="n"/>
      <c r="F65" s="60" t="n"/>
      <c r="G65" s="60" t="n"/>
      <c r="H65" s="60" t="n"/>
      <c r="I65" s="60" t="n"/>
      <c r="J65" s="60" t="n"/>
      <c r="K65" s="61">
        <f>IF(OR(B65="",D65="Cut"),"",IF(COUNTA(F65:J65)&lt;5,"Answer all 5",IF(COUNTIF(F65:J65,"Y")&gt;0,"High","Low")))</f>
        <v/>
      </c>
      <c r="L65" s="60" t="n"/>
      <c r="M65" s="60" t="n"/>
      <c r="N65" s="60" t="n"/>
      <c r="O65" s="60" t="n"/>
      <c r="P65" s="61">
        <f>IF(OR(B65="",D65="Cut"),"",IF(COUNTA(L65:O65)&lt;4,"Answer all 4",IF(COUNTIF(L65:O65,"Y")&gt;0,"Hard","Easy")))</f>
        <v/>
      </c>
      <c r="Q65" s="60" t="n"/>
      <c r="R65" s="61">
        <f>IF(B65="","",IF(D65="Cut","Cut",IF(Q65="Y","Human",IF(OR(K65="Answer all 5",P65="Answer all 4"),"Score it",IF(K65="High",IF(P65="Hard","Human","Assist"),IF(P65="Hard","Agent","Automate"))))))</f>
        <v/>
      </c>
      <c r="S65" s="60" t="n"/>
      <c r="T65" s="59" t="n"/>
      <c r="U65" s="62" t="n"/>
      <c r="V65" s="57">
        <f>IF(B65="","",IF(R65="Cut","Stop doing this task.",IF(R65="Score it","Answer all nine questions.",IF(AND(R65="Human",Q65&lt;&gt;"Y"),"Confirm it stays Human, or redesign it so it is easier to check and score again.",IF(AND(R65="Agent",S65&lt;&gt;"Y"),"Write the agent job description before it goes live.",IF(T65="","Name an owner.",IF(U65="","Set a review date.","Ready.")))))))</f>
        <v/>
      </c>
    </row>
    <row r="66" ht="15" customHeight="1" s="41">
      <c r="A66" s="57">
        <f>IF(Taxonomy!A66="","",Taxonomy!A66)</f>
        <v/>
      </c>
      <c r="B66" s="57">
        <f>IF(Taxonomy!E66="","",Taxonomy!E66)</f>
        <v/>
      </c>
      <c r="C66" s="58">
        <f>IF(Taxonomy!J66="","",Taxonomy!J66)</f>
        <v/>
      </c>
      <c r="D66" s="57">
        <f>IF(Taxonomy!S66="","",Taxonomy!S66)</f>
        <v/>
      </c>
      <c r="E66" s="59" t="n"/>
      <c r="F66" s="60" t="n"/>
      <c r="G66" s="60" t="n"/>
      <c r="H66" s="60" t="n"/>
      <c r="I66" s="60" t="n"/>
      <c r="J66" s="60" t="n"/>
      <c r="K66" s="61">
        <f>IF(OR(B66="",D66="Cut"),"",IF(COUNTA(F66:J66)&lt;5,"Answer all 5",IF(COUNTIF(F66:J66,"Y")&gt;0,"High","Low")))</f>
        <v/>
      </c>
      <c r="L66" s="60" t="n"/>
      <c r="M66" s="60" t="n"/>
      <c r="N66" s="60" t="n"/>
      <c r="O66" s="60" t="n"/>
      <c r="P66" s="61">
        <f>IF(OR(B66="",D66="Cut"),"",IF(COUNTA(L66:O66)&lt;4,"Answer all 4",IF(COUNTIF(L66:O66,"Y")&gt;0,"Hard","Easy")))</f>
        <v/>
      </c>
      <c r="Q66" s="60" t="n"/>
      <c r="R66" s="61">
        <f>IF(B66="","",IF(D66="Cut","Cut",IF(Q66="Y","Human",IF(OR(K66="Answer all 5",P66="Answer all 4"),"Score it",IF(K66="High",IF(P66="Hard","Human","Assist"),IF(P66="Hard","Agent","Automate"))))))</f>
        <v/>
      </c>
      <c r="S66" s="60" t="n"/>
      <c r="T66" s="59" t="n"/>
      <c r="U66" s="62" t="n"/>
      <c r="V66" s="57">
        <f>IF(B66="","",IF(R66="Cut","Stop doing this task.",IF(R66="Score it","Answer all nine questions.",IF(AND(R66="Human",Q66&lt;&gt;"Y"),"Confirm it stays Human, or redesign it so it is easier to check and score again.",IF(AND(R66="Agent",S66&lt;&gt;"Y"),"Write the agent job description before it goes live.",IF(T66="","Name an owner.",IF(U66="","Set a review date.","Ready.")))))))</f>
        <v/>
      </c>
    </row>
    <row r="67" ht="15" customHeight="1" s="41">
      <c r="A67" s="57">
        <f>IF(Taxonomy!A67="","",Taxonomy!A67)</f>
        <v/>
      </c>
      <c r="B67" s="57">
        <f>IF(Taxonomy!E67="","",Taxonomy!E67)</f>
        <v/>
      </c>
      <c r="C67" s="58">
        <f>IF(Taxonomy!J67="","",Taxonomy!J67)</f>
        <v/>
      </c>
      <c r="D67" s="57">
        <f>IF(Taxonomy!S67="","",Taxonomy!S67)</f>
        <v/>
      </c>
      <c r="E67" s="59" t="n"/>
      <c r="F67" s="60" t="n"/>
      <c r="G67" s="60" t="n"/>
      <c r="H67" s="60" t="n"/>
      <c r="I67" s="60" t="n"/>
      <c r="J67" s="60" t="n"/>
      <c r="K67" s="61">
        <f>IF(OR(B67="",D67="Cut"),"",IF(COUNTA(F67:J67)&lt;5,"Answer all 5",IF(COUNTIF(F67:J67,"Y")&gt;0,"High","Low")))</f>
        <v/>
      </c>
      <c r="L67" s="60" t="n"/>
      <c r="M67" s="60" t="n"/>
      <c r="N67" s="60" t="n"/>
      <c r="O67" s="60" t="n"/>
      <c r="P67" s="61">
        <f>IF(OR(B67="",D67="Cut"),"",IF(COUNTA(L67:O67)&lt;4,"Answer all 4",IF(COUNTIF(L67:O67,"Y")&gt;0,"Hard","Easy")))</f>
        <v/>
      </c>
      <c r="Q67" s="60" t="n"/>
      <c r="R67" s="61">
        <f>IF(B67="","",IF(D67="Cut","Cut",IF(Q67="Y","Human",IF(OR(K67="Answer all 5",P67="Answer all 4"),"Score it",IF(K67="High",IF(P67="Hard","Human","Assist"),IF(P67="Hard","Agent","Automate"))))))</f>
        <v/>
      </c>
      <c r="S67" s="60" t="n"/>
      <c r="T67" s="59" t="n"/>
      <c r="U67" s="62" t="n"/>
      <c r="V67" s="57">
        <f>IF(B67="","",IF(R67="Cut","Stop doing this task.",IF(R67="Score it","Answer all nine questions.",IF(AND(R67="Human",Q67&lt;&gt;"Y"),"Confirm it stays Human, or redesign it so it is easier to check and score again.",IF(AND(R67="Agent",S67&lt;&gt;"Y"),"Write the agent job description before it goes live.",IF(T67="","Name an owner.",IF(U67="","Set a review date.","Ready.")))))))</f>
        <v/>
      </c>
    </row>
    <row r="68" ht="15" customHeight="1" s="41">
      <c r="A68" s="57">
        <f>IF(Taxonomy!A68="","",Taxonomy!A68)</f>
        <v/>
      </c>
      <c r="B68" s="57">
        <f>IF(Taxonomy!E68="","",Taxonomy!E68)</f>
        <v/>
      </c>
      <c r="C68" s="58">
        <f>IF(Taxonomy!J68="","",Taxonomy!J68)</f>
        <v/>
      </c>
      <c r="D68" s="57">
        <f>IF(Taxonomy!S68="","",Taxonomy!S68)</f>
        <v/>
      </c>
      <c r="E68" s="59" t="n"/>
      <c r="F68" s="60" t="n"/>
      <c r="G68" s="60" t="n"/>
      <c r="H68" s="60" t="n"/>
      <c r="I68" s="60" t="n"/>
      <c r="J68" s="60" t="n"/>
      <c r="K68" s="61">
        <f>IF(OR(B68="",D68="Cut"),"",IF(COUNTA(F68:J68)&lt;5,"Answer all 5",IF(COUNTIF(F68:J68,"Y")&gt;0,"High","Low")))</f>
        <v/>
      </c>
      <c r="L68" s="60" t="n"/>
      <c r="M68" s="60" t="n"/>
      <c r="N68" s="60" t="n"/>
      <c r="O68" s="60" t="n"/>
      <c r="P68" s="61">
        <f>IF(OR(B68="",D68="Cut"),"",IF(COUNTA(L68:O68)&lt;4,"Answer all 4",IF(COUNTIF(L68:O68,"Y")&gt;0,"Hard","Easy")))</f>
        <v/>
      </c>
      <c r="Q68" s="60" t="n"/>
      <c r="R68" s="61">
        <f>IF(B68="","",IF(D68="Cut","Cut",IF(Q68="Y","Human",IF(OR(K68="Answer all 5",P68="Answer all 4"),"Score it",IF(K68="High",IF(P68="Hard","Human","Assist"),IF(P68="Hard","Agent","Automate"))))))</f>
        <v/>
      </c>
      <c r="S68" s="60" t="n"/>
      <c r="T68" s="59" t="n"/>
      <c r="U68" s="62" t="n"/>
      <c r="V68" s="57">
        <f>IF(B68="","",IF(R68="Cut","Stop doing this task.",IF(R68="Score it","Answer all nine questions.",IF(AND(R68="Human",Q68&lt;&gt;"Y"),"Confirm it stays Human, or redesign it so it is easier to check and score again.",IF(AND(R68="Agent",S68&lt;&gt;"Y"),"Write the agent job description before it goes live.",IF(T68="","Name an owner.",IF(U68="","Set a review date.","Ready.")))))))</f>
        <v/>
      </c>
    </row>
    <row r="69" ht="15" customHeight="1" s="41">
      <c r="A69" s="57">
        <f>IF(Taxonomy!A69="","",Taxonomy!A69)</f>
        <v/>
      </c>
      <c r="B69" s="57">
        <f>IF(Taxonomy!E69="","",Taxonomy!E69)</f>
        <v/>
      </c>
      <c r="C69" s="58">
        <f>IF(Taxonomy!J69="","",Taxonomy!J69)</f>
        <v/>
      </c>
      <c r="D69" s="57">
        <f>IF(Taxonomy!S69="","",Taxonomy!S69)</f>
        <v/>
      </c>
      <c r="E69" s="59" t="n"/>
      <c r="F69" s="60" t="n"/>
      <c r="G69" s="60" t="n"/>
      <c r="H69" s="60" t="n"/>
      <c r="I69" s="60" t="n"/>
      <c r="J69" s="60" t="n"/>
      <c r="K69" s="61">
        <f>IF(OR(B69="",D69="Cut"),"",IF(COUNTA(F69:J69)&lt;5,"Answer all 5",IF(COUNTIF(F69:J69,"Y")&gt;0,"High","Low")))</f>
        <v/>
      </c>
      <c r="L69" s="60" t="n"/>
      <c r="M69" s="60" t="n"/>
      <c r="N69" s="60" t="n"/>
      <c r="O69" s="60" t="n"/>
      <c r="P69" s="61">
        <f>IF(OR(B69="",D69="Cut"),"",IF(COUNTA(L69:O69)&lt;4,"Answer all 4",IF(COUNTIF(L69:O69,"Y")&gt;0,"Hard","Easy")))</f>
        <v/>
      </c>
      <c r="Q69" s="60" t="n"/>
      <c r="R69" s="61">
        <f>IF(B69="","",IF(D69="Cut","Cut",IF(Q69="Y","Human",IF(OR(K69="Answer all 5",P69="Answer all 4"),"Score it",IF(K69="High",IF(P69="Hard","Human","Assist"),IF(P69="Hard","Agent","Automate"))))))</f>
        <v/>
      </c>
      <c r="S69" s="60" t="n"/>
      <c r="T69" s="59" t="n"/>
      <c r="U69" s="62" t="n"/>
      <c r="V69" s="57">
        <f>IF(B69="","",IF(R69="Cut","Stop doing this task.",IF(R69="Score it","Answer all nine questions.",IF(AND(R69="Human",Q69&lt;&gt;"Y"),"Confirm it stays Human, or redesign it so it is easier to check and score again.",IF(AND(R69="Agent",S69&lt;&gt;"Y"),"Write the agent job description before it goes live.",IF(T69="","Name an owner.",IF(U69="","Set a review date.","Ready.")))))))</f>
        <v/>
      </c>
    </row>
    <row r="70" ht="15" customHeight="1" s="41">
      <c r="A70" s="57">
        <f>IF(Taxonomy!A70="","",Taxonomy!A70)</f>
        <v/>
      </c>
      <c r="B70" s="57">
        <f>IF(Taxonomy!E70="","",Taxonomy!E70)</f>
        <v/>
      </c>
      <c r="C70" s="58">
        <f>IF(Taxonomy!J70="","",Taxonomy!J70)</f>
        <v/>
      </c>
      <c r="D70" s="57">
        <f>IF(Taxonomy!S70="","",Taxonomy!S70)</f>
        <v/>
      </c>
      <c r="E70" s="59" t="n"/>
      <c r="F70" s="60" t="n"/>
      <c r="G70" s="60" t="n"/>
      <c r="H70" s="60" t="n"/>
      <c r="I70" s="60" t="n"/>
      <c r="J70" s="60" t="n"/>
      <c r="K70" s="61">
        <f>IF(OR(B70="",D70="Cut"),"",IF(COUNTA(F70:J70)&lt;5,"Answer all 5",IF(COUNTIF(F70:J70,"Y")&gt;0,"High","Low")))</f>
        <v/>
      </c>
      <c r="L70" s="60" t="n"/>
      <c r="M70" s="60" t="n"/>
      <c r="N70" s="60" t="n"/>
      <c r="O70" s="60" t="n"/>
      <c r="P70" s="61">
        <f>IF(OR(B70="",D70="Cut"),"",IF(COUNTA(L70:O70)&lt;4,"Answer all 4",IF(COUNTIF(L70:O70,"Y")&gt;0,"Hard","Easy")))</f>
        <v/>
      </c>
      <c r="Q70" s="60" t="n"/>
      <c r="R70" s="61">
        <f>IF(B70="","",IF(D70="Cut","Cut",IF(Q70="Y","Human",IF(OR(K70="Answer all 5",P70="Answer all 4"),"Score it",IF(K70="High",IF(P70="Hard","Human","Assist"),IF(P70="Hard","Agent","Automate"))))))</f>
        <v/>
      </c>
      <c r="S70" s="60" t="n"/>
      <c r="T70" s="59" t="n"/>
      <c r="U70" s="62" t="n"/>
      <c r="V70" s="57">
        <f>IF(B70="","",IF(R70="Cut","Stop doing this task.",IF(R70="Score it","Answer all nine questions.",IF(AND(R70="Human",Q70&lt;&gt;"Y"),"Confirm it stays Human, or redesign it so it is easier to check and score again.",IF(AND(R70="Agent",S70&lt;&gt;"Y"),"Write the agent job description before it goes live.",IF(T70="","Name an owner.",IF(U70="","Set a review date.","Ready.")))))))</f>
        <v/>
      </c>
    </row>
    <row r="71" ht="15" customHeight="1" s="41">
      <c r="A71" s="57">
        <f>IF(Taxonomy!A71="","",Taxonomy!A71)</f>
        <v/>
      </c>
      <c r="B71" s="57">
        <f>IF(Taxonomy!E71="","",Taxonomy!E71)</f>
        <v/>
      </c>
      <c r="C71" s="58">
        <f>IF(Taxonomy!J71="","",Taxonomy!J71)</f>
        <v/>
      </c>
      <c r="D71" s="57">
        <f>IF(Taxonomy!S71="","",Taxonomy!S71)</f>
        <v/>
      </c>
      <c r="E71" s="59" t="n"/>
      <c r="F71" s="60" t="n"/>
      <c r="G71" s="60" t="n"/>
      <c r="H71" s="60" t="n"/>
      <c r="I71" s="60" t="n"/>
      <c r="J71" s="60" t="n"/>
      <c r="K71" s="61">
        <f>IF(OR(B71="",D71="Cut"),"",IF(COUNTA(F71:J71)&lt;5,"Answer all 5",IF(COUNTIF(F71:J71,"Y")&gt;0,"High","Low")))</f>
        <v/>
      </c>
      <c r="L71" s="60" t="n"/>
      <c r="M71" s="60" t="n"/>
      <c r="N71" s="60" t="n"/>
      <c r="O71" s="60" t="n"/>
      <c r="P71" s="61">
        <f>IF(OR(B71="",D71="Cut"),"",IF(COUNTA(L71:O71)&lt;4,"Answer all 4",IF(COUNTIF(L71:O71,"Y")&gt;0,"Hard","Easy")))</f>
        <v/>
      </c>
      <c r="Q71" s="60" t="n"/>
      <c r="R71" s="61">
        <f>IF(B71="","",IF(D71="Cut","Cut",IF(Q71="Y","Human",IF(OR(K71="Answer all 5",P71="Answer all 4"),"Score it",IF(K71="High",IF(P71="Hard","Human","Assist"),IF(P71="Hard","Agent","Automate"))))))</f>
        <v/>
      </c>
      <c r="S71" s="60" t="n"/>
      <c r="T71" s="59" t="n"/>
      <c r="U71" s="62" t="n"/>
      <c r="V71" s="57">
        <f>IF(B71="","",IF(R71="Cut","Stop doing this task.",IF(R71="Score it","Answer all nine questions.",IF(AND(R71="Human",Q71&lt;&gt;"Y"),"Confirm it stays Human, or redesign it so it is easier to check and score again.",IF(AND(R71="Agent",S71&lt;&gt;"Y"),"Write the agent job description before it goes live.",IF(T71="","Name an owner.",IF(U71="","Set a review date.","Ready.")))))))</f>
        <v/>
      </c>
    </row>
    <row r="72" ht="15" customHeight="1" s="41">
      <c r="A72" s="57">
        <f>IF(Taxonomy!A72="","",Taxonomy!A72)</f>
        <v/>
      </c>
      <c r="B72" s="57">
        <f>IF(Taxonomy!E72="","",Taxonomy!E72)</f>
        <v/>
      </c>
      <c r="C72" s="58">
        <f>IF(Taxonomy!J72="","",Taxonomy!J72)</f>
        <v/>
      </c>
      <c r="D72" s="57">
        <f>IF(Taxonomy!S72="","",Taxonomy!S72)</f>
        <v/>
      </c>
      <c r="E72" s="59" t="n"/>
      <c r="F72" s="60" t="n"/>
      <c r="G72" s="60" t="n"/>
      <c r="H72" s="60" t="n"/>
      <c r="I72" s="60" t="n"/>
      <c r="J72" s="60" t="n"/>
      <c r="K72" s="61">
        <f>IF(OR(B72="",D72="Cut"),"",IF(COUNTA(F72:J72)&lt;5,"Answer all 5",IF(COUNTIF(F72:J72,"Y")&gt;0,"High","Low")))</f>
        <v/>
      </c>
      <c r="L72" s="60" t="n"/>
      <c r="M72" s="60" t="n"/>
      <c r="N72" s="60" t="n"/>
      <c r="O72" s="60" t="n"/>
      <c r="P72" s="61">
        <f>IF(OR(B72="",D72="Cut"),"",IF(COUNTA(L72:O72)&lt;4,"Answer all 4",IF(COUNTIF(L72:O72,"Y")&gt;0,"Hard","Easy")))</f>
        <v/>
      </c>
      <c r="Q72" s="60" t="n"/>
      <c r="R72" s="61">
        <f>IF(B72="","",IF(D72="Cut","Cut",IF(Q72="Y","Human",IF(OR(K72="Answer all 5",P72="Answer all 4"),"Score it",IF(K72="High",IF(P72="Hard","Human","Assist"),IF(P72="Hard","Agent","Automate"))))))</f>
        <v/>
      </c>
      <c r="S72" s="60" t="n"/>
      <c r="T72" s="59" t="n"/>
      <c r="U72" s="62" t="n"/>
      <c r="V72" s="57">
        <f>IF(B72="","",IF(R72="Cut","Stop doing this task.",IF(R72="Score it","Answer all nine questions.",IF(AND(R72="Human",Q72&lt;&gt;"Y"),"Confirm it stays Human, or redesign it so it is easier to check and score again.",IF(AND(R72="Agent",S72&lt;&gt;"Y"),"Write the agent job description before it goes live.",IF(T72="","Name an owner.",IF(U72="","Set a review date.","Ready.")))))))</f>
        <v/>
      </c>
    </row>
    <row r="73" ht="15" customHeight="1" s="41">
      <c r="A73" s="57">
        <f>IF(Taxonomy!A73="","",Taxonomy!A73)</f>
        <v/>
      </c>
      <c r="B73" s="57">
        <f>IF(Taxonomy!E73="","",Taxonomy!E73)</f>
        <v/>
      </c>
      <c r="C73" s="58">
        <f>IF(Taxonomy!J73="","",Taxonomy!J73)</f>
        <v/>
      </c>
      <c r="D73" s="57">
        <f>IF(Taxonomy!S73="","",Taxonomy!S73)</f>
        <v/>
      </c>
      <c r="E73" s="59" t="n"/>
      <c r="F73" s="60" t="n"/>
      <c r="G73" s="60" t="n"/>
      <c r="H73" s="60" t="n"/>
      <c r="I73" s="60" t="n"/>
      <c r="J73" s="60" t="n"/>
      <c r="K73" s="61">
        <f>IF(OR(B73="",D73="Cut"),"",IF(COUNTA(F73:J73)&lt;5,"Answer all 5",IF(COUNTIF(F73:J73,"Y")&gt;0,"High","Low")))</f>
        <v/>
      </c>
      <c r="L73" s="60" t="n"/>
      <c r="M73" s="60" t="n"/>
      <c r="N73" s="60" t="n"/>
      <c r="O73" s="60" t="n"/>
      <c r="P73" s="61">
        <f>IF(OR(B73="",D73="Cut"),"",IF(COUNTA(L73:O73)&lt;4,"Answer all 4",IF(COUNTIF(L73:O73,"Y")&gt;0,"Hard","Easy")))</f>
        <v/>
      </c>
      <c r="Q73" s="60" t="n"/>
      <c r="R73" s="61">
        <f>IF(B73="","",IF(D73="Cut","Cut",IF(Q73="Y","Human",IF(OR(K73="Answer all 5",P73="Answer all 4"),"Score it",IF(K73="High",IF(P73="Hard","Human","Assist"),IF(P73="Hard","Agent","Automate"))))))</f>
        <v/>
      </c>
      <c r="S73" s="60" t="n"/>
      <c r="T73" s="59" t="n"/>
      <c r="U73" s="62" t="n"/>
      <c r="V73" s="57">
        <f>IF(B73="","",IF(R73="Cut","Stop doing this task.",IF(R73="Score it","Answer all nine questions.",IF(AND(R73="Human",Q73&lt;&gt;"Y"),"Confirm it stays Human, or redesign it so it is easier to check and score again.",IF(AND(R73="Agent",S73&lt;&gt;"Y"),"Write the agent job description before it goes live.",IF(T73="","Name an owner.",IF(U73="","Set a review date.","Ready.")))))))</f>
        <v/>
      </c>
    </row>
    <row r="74" ht="15" customHeight="1" s="41">
      <c r="A74" s="57">
        <f>IF(Taxonomy!A74="","",Taxonomy!A74)</f>
        <v/>
      </c>
      <c r="B74" s="57">
        <f>IF(Taxonomy!E74="","",Taxonomy!E74)</f>
        <v/>
      </c>
      <c r="C74" s="58">
        <f>IF(Taxonomy!J74="","",Taxonomy!J74)</f>
        <v/>
      </c>
      <c r="D74" s="57">
        <f>IF(Taxonomy!S74="","",Taxonomy!S74)</f>
        <v/>
      </c>
      <c r="E74" s="59" t="n"/>
      <c r="F74" s="60" t="n"/>
      <c r="G74" s="60" t="n"/>
      <c r="H74" s="60" t="n"/>
      <c r="I74" s="60" t="n"/>
      <c r="J74" s="60" t="n"/>
      <c r="K74" s="61">
        <f>IF(OR(B74="",D74="Cut"),"",IF(COUNTA(F74:J74)&lt;5,"Answer all 5",IF(COUNTIF(F74:J74,"Y")&gt;0,"High","Low")))</f>
        <v/>
      </c>
      <c r="L74" s="60" t="n"/>
      <c r="M74" s="60" t="n"/>
      <c r="N74" s="60" t="n"/>
      <c r="O74" s="60" t="n"/>
      <c r="P74" s="61">
        <f>IF(OR(B74="",D74="Cut"),"",IF(COUNTA(L74:O74)&lt;4,"Answer all 4",IF(COUNTIF(L74:O74,"Y")&gt;0,"Hard","Easy")))</f>
        <v/>
      </c>
      <c r="Q74" s="60" t="n"/>
      <c r="R74" s="61">
        <f>IF(B74="","",IF(D74="Cut","Cut",IF(Q74="Y","Human",IF(OR(K74="Answer all 5",P74="Answer all 4"),"Score it",IF(K74="High",IF(P74="Hard","Human","Assist"),IF(P74="Hard","Agent","Automate"))))))</f>
        <v/>
      </c>
      <c r="S74" s="60" t="n"/>
      <c r="T74" s="59" t="n"/>
      <c r="U74" s="62" t="n"/>
      <c r="V74" s="57">
        <f>IF(B74="","",IF(R74="Cut","Stop doing this task.",IF(R74="Score it","Answer all nine questions.",IF(AND(R74="Human",Q74&lt;&gt;"Y"),"Confirm it stays Human, or redesign it so it is easier to check and score again.",IF(AND(R74="Agent",S74&lt;&gt;"Y"),"Write the agent job description before it goes live.",IF(T74="","Name an owner.",IF(U74="","Set a review date.","Ready.")))))))</f>
        <v/>
      </c>
    </row>
    <row r="75" ht="15" customHeight="1" s="41">
      <c r="A75" s="57">
        <f>IF(Taxonomy!A75="","",Taxonomy!A75)</f>
        <v/>
      </c>
      <c r="B75" s="57">
        <f>IF(Taxonomy!E75="","",Taxonomy!E75)</f>
        <v/>
      </c>
      <c r="C75" s="58">
        <f>IF(Taxonomy!J75="","",Taxonomy!J75)</f>
        <v/>
      </c>
      <c r="D75" s="57">
        <f>IF(Taxonomy!S75="","",Taxonomy!S75)</f>
        <v/>
      </c>
      <c r="E75" s="59" t="n"/>
      <c r="F75" s="60" t="n"/>
      <c r="G75" s="60" t="n"/>
      <c r="H75" s="60" t="n"/>
      <c r="I75" s="60" t="n"/>
      <c r="J75" s="60" t="n"/>
      <c r="K75" s="61">
        <f>IF(OR(B75="",D75="Cut"),"",IF(COUNTA(F75:J75)&lt;5,"Answer all 5",IF(COUNTIF(F75:J75,"Y")&gt;0,"High","Low")))</f>
        <v/>
      </c>
      <c r="L75" s="60" t="n"/>
      <c r="M75" s="60" t="n"/>
      <c r="N75" s="60" t="n"/>
      <c r="O75" s="60" t="n"/>
      <c r="P75" s="61">
        <f>IF(OR(B75="",D75="Cut"),"",IF(COUNTA(L75:O75)&lt;4,"Answer all 4",IF(COUNTIF(L75:O75,"Y")&gt;0,"Hard","Easy")))</f>
        <v/>
      </c>
      <c r="Q75" s="60" t="n"/>
      <c r="R75" s="61">
        <f>IF(B75="","",IF(D75="Cut","Cut",IF(Q75="Y","Human",IF(OR(K75="Answer all 5",P75="Answer all 4"),"Score it",IF(K75="High",IF(P75="Hard","Human","Assist"),IF(P75="Hard","Agent","Automate"))))))</f>
        <v/>
      </c>
      <c r="S75" s="60" t="n"/>
      <c r="T75" s="59" t="n"/>
      <c r="U75" s="62" t="n"/>
      <c r="V75" s="57">
        <f>IF(B75="","",IF(R75="Cut","Stop doing this task.",IF(R75="Score it","Answer all nine questions.",IF(AND(R75="Human",Q75&lt;&gt;"Y"),"Confirm it stays Human, or redesign it so it is easier to check and score again.",IF(AND(R75="Agent",S75&lt;&gt;"Y"),"Write the agent job description before it goes live.",IF(T75="","Name an owner.",IF(U75="","Set a review date.","Ready.")))))))</f>
        <v/>
      </c>
    </row>
    <row r="76" ht="15" customHeight="1" s="41">
      <c r="A76" s="57">
        <f>IF(Taxonomy!A76="","",Taxonomy!A76)</f>
        <v/>
      </c>
      <c r="B76" s="57">
        <f>IF(Taxonomy!E76="","",Taxonomy!E76)</f>
        <v/>
      </c>
      <c r="C76" s="58">
        <f>IF(Taxonomy!J76="","",Taxonomy!J76)</f>
        <v/>
      </c>
      <c r="D76" s="57">
        <f>IF(Taxonomy!S76="","",Taxonomy!S76)</f>
        <v/>
      </c>
      <c r="E76" s="59" t="n"/>
      <c r="F76" s="60" t="n"/>
      <c r="G76" s="60" t="n"/>
      <c r="H76" s="60" t="n"/>
      <c r="I76" s="60" t="n"/>
      <c r="J76" s="60" t="n"/>
      <c r="K76" s="61">
        <f>IF(OR(B76="",D76="Cut"),"",IF(COUNTA(F76:J76)&lt;5,"Answer all 5",IF(COUNTIF(F76:J76,"Y")&gt;0,"High","Low")))</f>
        <v/>
      </c>
      <c r="L76" s="60" t="n"/>
      <c r="M76" s="60" t="n"/>
      <c r="N76" s="60" t="n"/>
      <c r="O76" s="60" t="n"/>
      <c r="P76" s="61">
        <f>IF(OR(B76="",D76="Cut"),"",IF(COUNTA(L76:O76)&lt;4,"Answer all 4",IF(COUNTIF(L76:O76,"Y")&gt;0,"Hard","Easy")))</f>
        <v/>
      </c>
      <c r="Q76" s="60" t="n"/>
      <c r="R76" s="61">
        <f>IF(B76="","",IF(D76="Cut","Cut",IF(Q76="Y","Human",IF(OR(K76="Answer all 5",P76="Answer all 4"),"Score it",IF(K76="High",IF(P76="Hard","Human","Assist"),IF(P76="Hard","Agent","Automate"))))))</f>
        <v/>
      </c>
      <c r="S76" s="60" t="n"/>
      <c r="T76" s="59" t="n"/>
      <c r="U76" s="62" t="n"/>
      <c r="V76" s="57">
        <f>IF(B76="","",IF(R76="Cut","Stop doing this task.",IF(R76="Score it","Answer all nine questions.",IF(AND(R76="Human",Q76&lt;&gt;"Y"),"Confirm it stays Human, or redesign it so it is easier to check and score again.",IF(AND(R76="Agent",S76&lt;&gt;"Y"),"Write the agent job description before it goes live.",IF(T76="","Name an owner.",IF(U76="","Set a review date.","Ready.")))))))</f>
        <v/>
      </c>
    </row>
    <row r="77" ht="15" customHeight="1" s="41">
      <c r="A77" s="57">
        <f>IF(Taxonomy!A77="","",Taxonomy!A77)</f>
        <v/>
      </c>
      <c r="B77" s="57">
        <f>IF(Taxonomy!E77="","",Taxonomy!E77)</f>
        <v/>
      </c>
      <c r="C77" s="58">
        <f>IF(Taxonomy!J77="","",Taxonomy!J77)</f>
        <v/>
      </c>
      <c r="D77" s="57">
        <f>IF(Taxonomy!S77="","",Taxonomy!S77)</f>
        <v/>
      </c>
      <c r="E77" s="59" t="n"/>
      <c r="F77" s="60" t="n"/>
      <c r="G77" s="60" t="n"/>
      <c r="H77" s="60" t="n"/>
      <c r="I77" s="60" t="n"/>
      <c r="J77" s="60" t="n"/>
      <c r="K77" s="61">
        <f>IF(OR(B77="",D77="Cut"),"",IF(COUNTA(F77:J77)&lt;5,"Answer all 5",IF(COUNTIF(F77:J77,"Y")&gt;0,"High","Low")))</f>
        <v/>
      </c>
      <c r="L77" s="60" t="n"/>
      <c r="M77" s="60" t="n"/>
      <c r="N77" s="60" t="n"/>
      <c r="O77" s="60" t="n"/>
      <c r="P77" s="61">
        <f>IF(OR(B77="",D77="Cut"),"",IF(COUNTA(L77:O77)&lt;4,"Answer all 4",IF(COUNTIF(L77:O77,"Y")&gt;0,"Hard","Easy")))</f>
        <v/>
      </c>
      <c r="Q77" s="60" t="n"/>
      <c r="R77" s="61">
        <f>IF(B77="","",IF(D77="Cut","Cut",IF(Q77="Y","Human",IF(OR(K77="Answer all 5",P77="Answer all 4"),"Score it",IF(K77="High",IF(P77="Hard","Human","Assist"),IF(P77="Hard","Agent","Automate"))))))</f>
        <v/>
      </c>
      <c r="S77" s="60" t="n"/>
      <c r="T77" s="59" t="n"/>
      <c r="U77" s="62" t="n"/>
      <c r="V77" s="57">
        <f>IF(B77="","",IF(R77="Cut","Stop doing this task.",IF(R77="Score it","Answer all nine questions.",IF(AND(R77="Human",Q77&lt;&gt;"Y"),"Confirm it stays Human, or redesign it so it is easier to check and score again.",IF(AND(R77="Agent",S77&lt;&gt;"Y"),"Write the agent job description before it goes live.",IF(T77="","Name an owner.",IF(U77="","Set a review date.","Ready.")))))))</f>
        <v/>
      </c>
    </row>
    <row r="78" ht="15" customHeight="1" s="41">
      <c r="A78" s="57">
        <f>IF(Taxonomy!A78="","",Taxonomy!A78)</f>
        <v/>
      </c>
      <c r="B78" s="57">
        <f>IF(Taxonomy!E78="","",Taxonomy!E78)</f>
        <v/>
      </c>
      <c r="C78" s="58">
        <f>IF(Taxonomy!J78="","",Taxonomy!J78)</f>
        <v/>
      </c>
      <c r="D78" s="57">
        <f>IF(Taxonomy!S78="","",Taxonomy!S78)</f>
        <v/>
      </c>
      <c r="E78" s="59" t="n"/>
      <c r="F78" s="60" t="n"/>
      <c r="G78" s="60" t="n"/>
      <c r="H78" s="60" t="n"/>
      <c r="I78" s="60" t="n"/>
      <c r="J78" s="60" t="n"/>
      <c r="K78" s="61">
        <f>IF(OR(B78="",D78="Cut"),"",IF(COUNTA(F78:J78)&lt;5,"Answer all 5",IF(COUNTIF(F78:J78,"Y")&gt;0,"High","Low")))</f>
        <v/>
      </c>
      <c r="L78" s="60" t="n"/>
      <c r="M78" s="60" t="n"/>
      <c r="N78" s="60" t="n"/>
      <c r="O78" s="60" t="n"/>
      <c r="P78" s="61">
        <f>IF(OR(B78="",D78="Cut"),"",IF(COUNTA(L78:O78)&lt;4,"Answer all 4",IF(COUNTIF(L78:O78,"Y")&gt;0,"Hard","Easy")))</f>
        <v/>
      </c>
      <c r="Q78" s="60" t="n"/>
      <c r="R78" s="61">
        <f>IF(B78="","",IF(D78="Cut","Cut",IF(Q78="Y","Human",IF(OR(K78="Answer all 5",P78="Answer all 4"),"Score it",IF(K78="High",IF(P78="Hard","Human","Assist"),IF(P78="Hard","Agent","Automate"))))))</f>
        <v/>
      </c>
      <c r="S78" s="60" t="n"/>
      <c r="T78" s="59" t="n"/>
      <c r="U78" s="62" t="n"/>
      <c r="V78" s="57">
        <f>IF(B78="","",IF(R78="Cut","Stop doing this task.",IF(R78="Score it","Answer all nine questions.",IF(AND(R78="Human",Q78&lt;&gt;"Y"),"Confirm it stays Human, or redesign it so it is easier to check and score again.",IF(AND(R78="Agent",S78&lt;&gt;"Y"),"Write the agent job description before it goes live.",IF(T78="","Name an owner.",IF(U78="","Set a review date.","Ready.")))))))</f>
        <v/>
      </c>
    </row>
    <row r="79" ht="15" customHeight="1" s="41">
      <c r="A79" s="57">
        <f>IF(Taxonomy!A79="","",Taxonomy!A79)</f>
        <v/>
      </c>
      <c r="B79" s="57">
        <f>IF(Taxonomy!E79="","",Taxonomy!E79)</f>
        <v/>
      </c>
      <c r="C79" s="58">
        <f>IF(Taxonomy!J79="","",Taxonomy!J79)</f>
        <v/>
      </c>
      <c r="D79" s="57">
        <f>IF(Taxonomy!S79="","",Taxonomy!S79)</f>
        <v/>
      </c>
      <c r="E79" s="59" t="n"/>
      <c r="F79" s="60" t="n"/>
      <c r="G79" s="60" t="n"/>
      <c r="H79" s="60" t="n"/>
      <c r="I79" s="60" t="n"/>
      <c r="J79" s="60" t="n"/>
      <c r="K79" s="61">
        <f>IF(OR(B79="",D79="Cut"),"",IF(COUNTA(F79:J79)&lt;5,"Answer all 5",IF(COUNTIF(F79:J79,"Y")&gt;0,"High","Low")))</f>
        <v/>
      </c>
      <c r="L79" s="60" t="n"/>
      <c r="M79" s="60" t="n"/>
      <c r="N79" s="60" t="n"/>
      <c r="O79" s="60" t="n"/>
      <c r="P79" s="61">
        <f>IF(OR(B79="",D79="Cut"),"",IF(COUNTA(L79:O79)&lt;4,"Answer all 4",IF(COUNTIF(L79:O79,"Y")&gt;0,"Hard","Easy")))</f>
        <v/>
      </c>
      <c r="Q79" s="60" t="n"/>
      <c r="R79" s="61">
        <f>IF(B79="","",IF(D79="Cut","Cut",IF(Q79="Y","Human",IF(OR(K79="Answer all 5",P79="Answer all 4"),"Score it",IF(K79="High",IF(P79="Hard","Human","Assist"),IF(P79="Hard","Agent","Automate"))))))</f>
        <v/>
      </c>
      <c r="S79" s="60" t="n"/>
      <c r="T79" s="59" t="n"/>
      <c r="U79" s="62" t="n"/>
      <c r="V79" s="57">
        <f>IF(B79="","",IF(R79="Cut","Stop doing this task.",IF(R79="Score it","Answer all nine questions.",IF(AND(R79="Human",Q79&lt;&gt;"Y"),"Confirm it stays Human, or redesign it so it is easier to check and score again.",IF(AND(R79="Agent",S79&lt;&gt;"Y"),"Write the agent job description before it goes live.",IF(T79="","Name an owner.",IF(U79="","Set a review date.","Ready.")))))))</f>
        <v/>
      </c>
    </row>
    <row r="80" ht="15" customHeight="1" s="41">
      <c r="A80" s="57">
        <f>IF(Taxonomy!A80="","",Taxonomy!A80)</f>
        <v/>
      </c>
      <c r="B80" s="57">
        <f>IF(Taxonomy!E80="","",Taxonomy!E80)</f>
        <v/>
      </c>
      <c r="C80" s="58">
        <f>IF(Taxonomy!J80="","",Taxonomy!J80)</f>
        <v/>
      </c>
      <c r="D80" s="57">
        <f>IF(Taxonomy!S80="","",Taxonomy!S80)</f>
        <v/>
      </c>
      <c r="E80" s="59" t="n"/>
      <c r="F80" s="60" t="n"/>
      <c r="G80" s="60" t="n"/>
      <c r="H80" s="60" t="n"/>
      <c r="I80" s="60" t="n"/>
      <c r="J80" s="60" t="n"/>
      <c r="K80" s="61">
        <f>IF(OR(B80="",D80="Cut"),"",IF(COUNTA(F80:J80)&lt;5,"Answer all 5",IF(COUNTIF(F80:J80,"Y")&gt;0,"High","Low")))</f>
        <v/>
      </c>
      <c r="L80" s="60" t="n"/>
      <c r="M80" s="60" t="n"/>
      <c r="N80" s="60" t="n"/>
      <c r="O80" s="60" t="n"/>
      <c r="P80" s="61">
        <f>IF(OR(B80="",D80="Cut"),"",IF(COUNTA(L80:O80)&lt;4,"Answer all 4",IF(COUNTIF(L80:O80,"Y")&gt;0,"Hard","Easy")))</f>
        <v/>
      </c>
      <c r="Q80" s="60" t="n"/>
      <c r="R80" s="61">
        <f>IF(B80="","",IF(D80="Cut","Cut",IF(Q80="Y","Human",IF(OR(K80="Answer all 5",P80="Answer all 4"),"Score it",IF(K80="High",IF(P80="Hard","Human","Assist"),IF(P80="Hard","Agent","Automate"))))))</f>
        <v/>
      </c>
      <c r="S80" s="60" t="n"/>
      <c r="T80" s="59" t="n"/>
      <c r="U80" s="62" t="n"/>
      <c r="V80" s="57">
        <f>IF(B80="","",IF(R80="Cut","Stop doing this task.",IF(R80="Score it","Answer all nine questions.",IF(AND(R80="Human",Q80&lt;&gt;"Y"),"Confirm it stays Human, or redesign it so it is easier to check and score again.",IF(AND(R80="Agent",S80&lt;&gt;"Y"),"Write the agent job description before it goes live.",IF(T80="","Name an owner.",IF(U80="","Set a review date.","Ready.")))))))</f>
        <v/>
      </c>
    </row>
    <row r="81" ht="15" customHeight="1" s="41">
      <c r="A81" s="57">
        <f>IF(Taxonomy!A81="","",Taxonomy!A81)</f>
        <v/>
      </c>
      <c r="B81" s="57">
        <f>IF(Taxonomy!E81="","",Taxonomy!E81)</f>
        <v/>
      </c>
      <c r="C81" s="58">
        <f>IF(Taxonomy!J81="","",Taxonomy!J81)</f>
        <v/>
      </c>
      <c r="D81" s="57">
        <f>IF(Taxonomy!S81="","",Taxonomy!S81)</f>
        <v/>
      </c>
      <c r="E81" s="59" t="n"/>
      <c r="F81" s="60" t="n"/>
      <c r="G81" s="60" t="n"/>
      <c r="H81" s="60" t="n"/>
      <c r="I81" s="60" t="n"/>
      <c r="J81" s="60" t="n"/>
      <c r="K81" s="61">
        <f>IF(OR(B81="",D81="Cut"),"",IF(COUNTA(F81:J81)&lt;5,"Answer all 5",IF(COUNTIF(F81:J81,"Y")&gt;0,"High","Low")))</f>
        <v/>
      </c>
      <c r="L81" s="60" t="n"/>
      <c r="M81" s="60" t="n"/>
      <c r="N81" s="60" t="n"/>
      <c r="O81" s="60" t="n"/>
      <c r="P81" s="61">
        <f>IF(OR(B81="",D81="Cut"),"",IF(COUNTA(L81:O81)&lt;4,"Answer all 4",IF(COUNTIF(L81:O81,"Y")&gt;0,"Hard","Easy")))</f>
        <v/>
      </c>
      <c r="Q81" s="60" t="n"/>
      <c r="R81" s="61">
        <f>IF(B81="","",IF(D81="Cut","Cut",IF(Q81="Y","Human",IF(OR(K81="Answer all 5",P81="Answer all 4"),"Score it",IF(K81="High",IF(P81="Hard","Human","Assist"),IF(P81="Hard","Agent","Automate"))))))</f>
        <v/>
      </c>
      <c r="S81" s="60" t="n"/>
      <c r="T81" s="59" t="n"/>
      <c r="U81" s="62" t="n"/>
      <c r="V81" s="57">
        <f>IF(B81="","",IF(R81="Cut","Stop doing this task.",IF(R81="Score it","Answer all nine questions.",IF(AND(R81="Human",Q81&lt;&gt;"Y"),"Confirm it stays Human, or redesign it so it is easier to check and score again.",IF(AND(R81="Agent",S81&lt;&gt;"Y"),"Write the agent job description before it goes live.",IF(T81="","Name an owner.",IF(U81="","Set a review date.","Ready.")))))))</f>
        <v/>
      </c>
    </row>
    <row r="82" ht="15" customHeight="1" s="41">
      <c r="A82" s="57">
        <f>IF(Taxonomy!A82="","",Taxonomy!A82)</f>
        <v/>
      </c>
      <c r="B82" s="57">
        <f>IF(Taxonomy!E82="","",Taxonomy!E82)</f>
        <v/>
      </c>
      <c r="C82" s="58">
        <f>IF(Taxonomy!J82="","",Taxonomy!J82)</f>
        <v/>
      </c>
      <c r="D82" s="57">
        <f>IF(Taxonomy!S82="","",Taxonomy!S82)</f>
        <v/>
      </c>
      <c r="E82" s="59" t="n"/>
      <c r="F82" s="60" t="n"/>
      <c r="G82" s="60" t="n"/>
      <c r="H82" s="60" t="n"/>
      <c r="I82" s="60" t="n"/>
      <c r="J82" s="60" t="n"/>
      <c r="K82" s="61">
        <f>IF(OR(B82="",D82="Cut"),"",IF(COUNTA(F82:J82)&lt;5,"Answer all 5",IF(COUNTIF(F82:J82,"Y")&gt;0,"High","Low")))</f>
        <v/>
      </c>
      <c r="L82" s="60" t="n"/>
      <c r="M82" s="60" t="n"/>
      <c r="N82" s="60" t="n"/>
      <c r="O82" s="60" t="n"/>
      <c r="P82" s="61">
        <f>IF(OR(B82="",D82="Cut"),"",IF(COUNTA(L82:O82)&lt;4,"Answer all 4",IF(COUNTIF(L82:O82,"Y")&gt;0,"Hard","Easy")))</f>
        <v/>
      </c>
      <c r="Q82" s="60" t="n"/>
      <c r="R82" s="61">
        <f>IF(B82="","",IF(D82="Cut","Cut",IF(Q82="Y","Human",IF(OR(K82="Answer all 5",P82="Answer all 4"),"Score it",IF(K82="High",IF(P82="Hard","Human","Assist"),IF(P82="Hard","Agent","Automate"))))))</f>
        <v/>
      </c>
      <c r="S82" s="60" t="n"/>
      <c r="T82" s="59" t="n"/>
      <c r="U82" s="62" t="n"/>
      <c r="V82" s="57">
        <f>IF(B82="","",IF(R82="Cut","Stop doing this task.",IF(R82="Score it","Answer all nine questions.",IF(AND(R82="Human",Q82&lt;&gt;"Y"),"Confirm it stays Human, or redesign it so it is easier to check and score again.",IF(AND(R82="Agent",S82&lt;&gt;"Y"),"Write the agent job description before it goes live.",IF(T82="","Name an owner.",IF(U82="","Set a review date.","Ready.")))))))</f>
        <v/>
      </c>
    </row>
    <row r="83" ht="15" customHeight="1" s="41">
      <c r="A83" s="57">
        <f>IF(Taxonomy!A83="","",Taxonomy!A83)</f>
        <v/>
      </c>
      <c r="B83" s="57">
        <f>IF(Taxonomy!E83="","",Taxonomy!E83)</f>
        <v/>
      </c>
      <c r="C83" s="58">
        <f>IF(Taxonomy!J83="","",Taxonomy!J83)</f>
        <v/>
      </c>
      <c r="D83" s="57">
        <f>IF(Taxonomy!S83="","",Taxonomy!S83)</f>
        <v/>
      </c>
      <c r="E83" s="59" t="n"/>
      <c r="F83" s="60" t="n"/>
      <c r="G83" s="60" t="n"/>
      <c r="H83" s="60" t="n"/>
      <c r="I83" s="60" t="n"/>
      <c r="J83" s="60" t="n"/>
      <c r="K83" s="61">
        <f>IF(OR(B83="",D83="Cut"),"",IF(COUNTA(F83:J83)&lt;5,"Answer all 5",IF(COUNTIF(F83:J83,"Y")&gt;0,"High","Low")))</f>
        <v/>
      </c>
      <c r="L83" s="60" t="n"/>
      <c r="M83" s="60" t="n"/>
      <c r="N83" s="60" t="n"/>
      <c r="O83" s="60" t="n"/>
      <c r="P83" s="61">
        <f>IF(OR(B83="",D83="Cut"),"",IF(COUNTA(L83:O83)&lt;4,"Answer all 4",IF(COUNTIF(L83:O83,"Y")&gt;0,"Hard","Easy")))</f>
        <v/>
      </c>
      <c r="Q83" s="60" t="n"/>
      <c r="R83" s="61">
        <f>IF(B83="","",IF(D83="Cut","Cut",IF(Q83="Y","Human",IF(OR(K83="Answer all 5",P83="Answer all 4"),"Score it",IF(K83="High",IF(P83="Hard","Human","Assist"),IF(P83="Hard","Agent","Automate"))))))</f>
        <v/>
      </c>
      <c r="S83" s="60" t="n"/>
      <c r="T83" s="59" t="n"/>
      <c r="U83" s="62" t="n"/>
      <c r="V83" s="57">
        <f>IF(B83="","",IF(R83="Cut","Stop doing this task.",IF(R83="Score it","Answer all nine questions.",IF(AND(R83="Human",Q83&lt;&gt;"Y"),"Confirm it stays Human, or redesign it so it is easier to check and score again.",IF(AND(R83="Agent",S83&lt;&gt;"Y"),"Write the agent job description before it goes live.",IF(T83="","Name an owner.",IF(U83="","Set a review date.","Ready.")))))))</f>
        <v/>
      </c>
    </row>
    <row r="84" ht="15" customHeight="1" s="41">
      <c r="A84" s="57">
        <f>IF(Taxonomy!A84="","",Taxonomy!A84)</f>
        <v/>
      </c>
      <c r="B84" s="57">
        <f>IF(Taxonomy!E84="","",Taxonomy!E84)</f>
        <v/>
      </c>
      <c r="C84" s="58">
        <f>IF(Taxonomy!J84="","",Taxonomy!J84)</f>
        <v/>
      </c>
      <c r="D84" s="57">
        <f>IF(Taxonomy!S84="","",Taxonomy!S84)</f>
        <v/>
      </c>
      <c r="E84" s="59" t="n"/>
      <c r="F84" s="60" t="n"/>
      <c r="G84" s="60" t="n"/>
      <c r="H84" s="60" t="n"/>
      <c r="I84" s="60" t="n"/>
      <c r="J84" s="60" t="n"/>
      <c r="K84" s="61">
        <f>IF(OR(B84="",D84="Cut"),"",IF(COUNTA(F84:J84)&lt;5,"Answer all 5",IF(COUNTIF(F84:J84,"Y")&gt;0,"High","Low")))</f>
        <v/>
      </c>
      <c r="L84" s="60" t="n"/>
      <c r="M84" s="60" t="n"/>
      <c r="N84" s="60" t="n"/>
      <c r="O84" s="60" t="n"/>
      <c r="P84" s="61">
        <f>IF(OR(B84="",D84="Cut"),"",IF(COUNTA(L84:O84)&lt;4,"Answer all 4",IF(COUNTIF(L84:O84,"Y")&gt;0,"Hard","Easy")))</f>
        <v/>
      </c>
      <c r="Q84" s="60" t="n"/>
      <c r="R84" s="61">
        <f>IF(B84="","",IF(D84="Cut","Cut",IF(Q84="Y","Human",IF(OR(K84="Answer all 5",P84="Answer all 4"),"Score it",IF(K84="High",IF(P84="Hard","Human","Assist"),IF(P84="Hard","Agent","Automate"))))))</f>
        <v/>
      </c>
      <c r="S84" s="60" t="n"/>
      <c r="T84" s="59" t="n"/>
      <c r="U84" s="62" t="n"/>
      <c r="V84" s="57">
        <f>IF(B84="","",IF(R84="Cut","Stop doing this task.",IF(R84="Score it","Answer all nine questions.",IF(AND(R84="Human",Q84&lt;&gt;"Y"),"Confirm it stays Human, or redesign it so it is easier to check and score again.",IF(AND(R84="Agent",S84&lt;&gt;"Y"),"Write the agent job description before it goes live.",IF(T84="","Name an owner.",IF(U84="","Set a review date.","Ready.")))))))</f>
        <v/>
      </c>
    </row>
    <row r="85" ht="15" customHeight="1" s="41">
      <c r="A85" s="57">
        <f>IF(Taxonomy!A85="","",Taxonomy!A85)</f>
        <v/>
      </c>
      <c r="B85" s="57">
        <f>IF(Taxonomy!E85="","",Taxonomy!E85)</f>
        <v/>
      </c>
      <c r="C85" s="58">
        <f>IF(Taxonomy!J85="","",Taxonomy!J85)</f>
        <v/>
      </c>
      <c r="D85" s="57">
        <f>IF(Taxonomy!S85="","",Taxonomy!S85)</f>
        <v/>
      </c>
      <c r="E85" s="59" t="n"/>
      <c r="F85" s="60" t="n"/>
      <c r="G85" s="60" t="n"/>
      <c r="H85" s="60" t="n"/>
      <c r="I85" s="60" t="n"/>
      <c r="J85" s="60" t="n"/>
      <c r="K85" s="61">
        <f>IF(OR(B85="",D85="Cut"),"",IF(COUNTA(F85:J85)&lt;5,"Answer all 5",IF(COUNTIF(F85:J85,"Y")&gt;0,"High","Low")))</f>
        <v/>
      </c>
      <c r="L85" s="60" t="n"/>
      <c r="M85" s="60" t="n"/>
      <c r="N85" s="60" t="n"/>
      <c r="O85" s="60" t="n"/>
      <c r="P85" s="61">
        <f>IF(OR(B85="",D85="Cut"),"",IF(COUNTA(L85:O85)&lt;4,"Answer all 4",IF(COUNTIF(L85:O85,"Y")&gt;0,"Hard","Easy")))</f>
        <v/>
      </c>
      <c r="Q85" s="60" t="n"/>
      <c r="R85" s="61">
        <f>IF(B85="","",IF(D85="Cut","Cut",IF(Q85="Y","Human",IF(OR(K85="Answer all 5",P85="Answer all 4"),"Score it",IF(K85="High",IF(P85="Hard","Human","Assist"),IF(P85="Hard","Agent","Automate"))))))</f>
        <v/>
      </c>
      <c r="S85" s="60" t="n"/>
      <c r="T85" s="59" t="n"/>
      <c r="U85" s="62" t="n"/>
      <c r="V85" s="57">
        <f>IF(B85="","",IF(R85="Cut","Stop doing this task.",IF(R85="Score it","Answer all nine questions.",IF(AND(R85="Human",Q85&lt;&gt;"Y"),"Confirm it stays Human, or redesign it so it is easier to check and score again.",IF(AND(R85="Agent",S85&lt;&gt;"Y"),"Write the agent job description before it goes live.",IF(T85="","Name an owner.",IF(U85="","Set a review date.","Ready.")))))))</f>
        <v/>
      </c>
    </row>
    <row r="86" ht="15" customHeight="1" s="41">
      <c r="A86" s="57">
        <f>IF(Taxonomy!A86="","",Taxonomy!A86)</f>
        <v/>
      </c>
      <c r="B86" s="57">
        <f>IF(Taxonomy!E86="","",Taxonomy!E86)</f>
        <v/>
      </c>
      <c r="C86" s="58">
        <f>IF(Taxonomy!J86="","",Taxonomy!J86)</f>
        <v/>
      </c>
      <c r="D86" s="57">
        <f>IF(Taxonomy!S86="","",Taxonomy!S86)</f>
        <v/>
      </c>
      <c r="E86" s="59" t="n"/>
      <c r="F86" s="60" t="n"/>
      <c r="G86" s="60" t="n"/>
      <c r="H86" s="60" t="n"/>
      <c r="I86" s="60" t="n"/>
      <c r="J86" s="60" t="n"/>
      <c r="K86" s="61">
        <f>IF(OR(B86="",D86="Cut"),"",IF(COUNTA(F86:J86)&lt;5,"Answer all 5",IF(COUNTIF(F86:J86,"Y")&gt;0,"High","Low")))</f>
        <v/>
      </c>
      <c r="L86" s="60" t="n"/>
      <c r="M86" s="60" t="n"/>
      <c r="N86" s="60" t="n"/>
      <c r="O86" s="60" t="n"/>
      <c r="P86" s="61">
        <f>IF(OR(B86="",D86="Cut"),"",IF(COUNTA(L86:O86)&lt;4,"Answer all 4",IF(COUNTIF(L86:O86,"Y")&gt;0,"Hard","Easy")))</f>
        <v/>
      </c>
      <c r="Q86" s="60" t="n"/>
      <c r="R86" s="61">
        <f>IF(B86="","",IF(D86="Cut","Cut",IF(Q86="Y","Human",IF(OR(K86="Answer all 5",P86="Answer all 4"),"Score it",IF(K86="High",IF(P86="Hard","Human","Assist"),IF(P86="Hard","Agent","Automate"))))))</f>
        <v/>
      </c>
      <c r="S86" s="60" t="n"/>
      <c r="T86" s="59" t="n"/>
      <c r="U86" s="62" t="n"/>
      <c r="V86" s="57">
        <f>IF(B86="","",IF(R86="Cut","Stop doing this task.",IF(R86="Score it","Answer all nine questions.",IF(AND(R86="Human",Q86&lt;&gt;"Y"),"Confirm it stays Human, or redesign it so it is easier to check and score again.",IF(AND(R86="Agent",S86&lt;&gt;"Y"),"Write the agent job description before it goes live.",IF(T86="","Name an owner.",IF(U86="","Set a review date.","Ready.")))))))</f>
        <v/>
      </c>
    </row>
    <row r="87" ht="15" customHeight="1" s="41">
      <c r="A87" s="57">
        <f>IF(Taxonomy!A87="","",Taxonomy!A87)</f>
        <v/>
      </c>
      <c r="B87" s="57">
        <f>IF(Taxonomy!E87="","",Taxonomy!E87)</f>
        <v/>
      </c>
      <c r="C87" s="58">
        <f>IF(Taxonomy!J87="","",Taxonomy!J87)</f>
        <v/>
      </c>
      <c r="D87" s="57">
        <f>IF(Taxonomy!S87="","",Taxonomy!S87)</f>
        <v/>
      </c>
      <c r="E87" s="59" t="n"/>
      <c r="F87" s="60" t="n"/>
      <c r="G87" s="60" t="n"/>
      <c r="H87" s="60" t="n"/>
      <c r="I87" s="60" t="n"/>
      <c r="J87" s="60" t="n"/>
      <c r="K87" s="61">
        <f>IF(OR(B87="",D87="Cut"),"",IF(COUNTA(F87:J87)&lt;5,"Answer all 5",IF(COUNTIF(F87:J87,"Y")&gt;0,"High","Low")))</f>
        <v/>
      </c>
      <c r="L87" s="60" t="n"/>
      <c r="M87" s="60" t="n"/>
      <c r="N87" s="60" t="n"/>
      <c r="O87" s="60" t="n"/>
      <c r="P87" s="61">
        <f>IF(OR(B87="",D87="Cut"),"",IF(COUNTA(L87:O87)&lt;4,"Answer all 4",IF(COUNTIF(L87:O87,"Y")&gt;0,"Hard","Easy")))</f>
        <v/>
      </c>
      <c r="Q87" s="60" t="n"/>
      <c r="R87" s="61">
        <f>IF(B87="","",IF(D87="Cut","Cut",IF(Q87="Y","Human",IF(OR(K87="Answer all 5",P87="Answer all 4"),"Score it",IF(K87="High",IF(P87="Hard","Human","Assist"),IF(P87="Hard","Agent","Automate"))))))</f>
        <v/>
      </c>
      <c r="S87" s="60" t="n"/>
      <c r="T87" s="59" t="n"/>
      <c r="U87" s="62" t="n"/>
      <c r="V87" s="57">
        <f>IF(B87="","",IF(R87="Cut","Stop doing this task.",IF(R87="Score it","Answer all nine questions.",IF(AND(R87="Human",Q87&lt;&gt;"Y"),"Confirm it stays Human, or redesign it so it is easier to check and score again.",IF(AND(R87="Agent",S87&lt;&gt;"Y"),"Write the agent job description before it goes live.",IF(T87="","Name an owner.",IF(U87="","Set a review date.","Ready.")))))))</f>
        <v/>
      </c>
    </row>
    <row r="88" ht="15" customHeight="1" s="41">
      <c r="A88" s="57">
        <f>IF(Taxonomy!A88="","",Taxonomy!A88)</f>
        <v/>
      </c>
      <c r="B88" s="57">
        <f>IF(Taxonomy!E88="","",Taxonomy!E88)</f>
        <v/>
      </c>
      <c r="C88" s="58">
        <f>IF(Taxonomy!J88="","",Taxonomy!J88)</f>
        <v/>
      </c>
      <c r="D88" s="57">
        <f>IF(Taxonomy!S88="","",Taxonomy!S88)</f>
        <v/>
      </c>
      <c r="E88" s="59" t="n"/>
      <c r="F88" s="60" t="n"/>
      <c r="G88" s="60" t="n"/>
      <c r="H88" s="60" t="n"/>
      <c r="I88" s="60" t="n"/>
      <c r="J88" s="60" t="n"/>
      <c r="K88" s="61">
        <f>IF(OR(B88="",D88="Cut"),"",IF(COUNTA(F88:J88)&lt;5,"Answer all 5",IF(COUNTIF(F88:J88,"Y")&gt;0,"High","Low")))</f>
        <v/>
      </c>
      <c r="L88" s="60" t="n"/>
      <c r="M88" s="60" t="n"/>
      <c r="N88" s="60" t="n"/>
      <c r="O88" s="60" t="n"/>
      <c r="P88" s="61">
        <f>IF(OR(B88="",D88="Cut"),"",IF(COUNTA(L88:O88)&lt;4,"Answer all 4",IF(COUNTIF(L88:O88,"Y")&gt;0,"Hard","Easy")))</f>
        <v/>
      </c>
      <c r="Q88" s="60" t="n"/>
      <c r="R88" s="61">
        <f>IF(B88="","",IF(D88="Cut","Cut",IF(Q88="Y","Human",IF(OR(K88="Answer all 5",P88="Answer all 4"),"Score it",IF(K88="High",IF(P88="Hard","Human","Assist"),IF(P88="Hard","Agent","Automate"))))))</f>
        <v/>
      </c>
      <c r="S88" s="60" t="n"/>
      <c r="T88" s="59" t="n"/>
      <c r="U88" s="62" t="n"/>
      <c r="V88" s="57">
        <f>IF(B88="","",IF(R88="Cut","Stop doing this task.",IF(R88="Score it","Answer all nine questions.",IF(AND(R88="Human",Q88&lt;&gt;"Y"),"Confirm it stays Human, or redesign it so it is easier to check and score again.",IF(AND(R88="Agent",S88&lt;&gt;"Y"),"Write the agent job description before it goes live.",IF(T88="","Name an owner.",IF(U88="","Set a review date.","Ready.")))))))</f>
        <v/>
      </c>
    </row>
    <row r="89" ht="15" customHeight="1" s="41">
      <c r="A89" s="57">
        <f>IF(Taxonomy!A89="","",Taxonomy!A89)</f>
        <v/>
      </c>
      <c r="B89" s="57">
        <f>IF(Taxonomy!E89="","",Taxonomy!E89)</f>
        <v/>
      </c>
      <c r="C89" s="58">
        <f>IF(Taxonomy!J89="","",Taxonomy!J89)</f>
        <v/>
      </c>
      <c r="D89" s="57">
        <f>IF(Taxonomy!S89="","",Taxonomy!S89)</f>
        <v/>
      </c>
      <c r="E89" s="59" t="n"/>
      <c r="F89" s="60" t="n"/>
      <c r="G89" s="60" t="n"/>
      <c r="H89" s="60" t="n"/>
      <c r="I89" s="60" t="n"/>
      <c r="J89" s="60" t="n"/>
      <c r="K89" s="61">
        <f>IF(OR(B89="",D89="Cut"),"",IF(COUNTA(F89:J89)&lt;5,"Answer all 5",IF(COUNTIF(F89:J89,"Y")&gt;0,"High","Low")))</f>
        <v/>
      </c>
      <c r="L89" s="60" t="n"/>
      <c r="M89" s="60" t="n"/>
      <c r="N89" s="60" t="n"/>
      <c r="O89" s="60" t="n"/>
      <c r="P89" s="61">
        <f>IF(OR(B89="",D89="Cut"),"",IF(COUNTA(L89:O89)&lt;4,"Answer all 4",IF(COUNTIF(L89:O89,"Y")&gt;0,"Hard","Easy")))</f>
        <v/>
      </c>
      <c r="Q89" s="60" t="n"/>
      <c r="R89" s="61">
        <f>IF(B89="","",IF(D89="Cut","Cut",IF(Q89="Y","Human",IF(OR(K89="Answer all 5",P89="Answer all 4"),"Score it",IF(K89="High",IF(P89="Hard","Human","Assist"),IF(P89="Hard","Agent","Automate"))))))</f>
        <v/>
      </c>
      <c r="S89" s="60" t="n"/>
      <c r="T89" s="59" t="n"/>
      <c r="U89" s="62" t="n"/>
      <c r="V89" s="57">
        <f>IF(B89="","",IF(R89="Cut","Stop doing this task.",IF(R89="Score it","Answer all nine questions.",IF(AND(R89="Human",Q89&lt;&gt;"Y"),"Confirm it stays Human, or redesign it so it is easier to check and score again.",IF(AND(R89="Agent",S89&lt;&gt;"Y"),"Write the agent job description before it goes live.",IF(T89="","Name an owner.",IF(U89="","Set a review date.","Ready.")))))))</f>
        <v/>
      </c>
    </row>
    <row r="90" ht="15" customHeight="1" s="41">
      <c r="A90" s="57">
        <f>IF(Taxonomy!A90="","",Taxonomy!A90)</f>
        <v/>
      </c>
      <c r="B90" s="57">
        <f>IF(Taxonomy!E90="","",Taxonomy!E90)</f>
        <v/>
      </c>
      <c r="C90" s="58">
        <f>IF(Taxonomy!J90="","",Taxonomy!J90)</f>
        <v/>
      </c>
      <c r="D90" s="57">
        <f>IF(Taxonomy!S90="","",Taxonomy!S90)</f>
        <v/>
      </c>
      <c r="E90" s="59" t="n"/>
      <c r="F90" s="60" t="n"/>
      <c r="G90" s="60" t="n"/>
      <c r="H90" s="60" t="n"/>
      <c r="I90" s="60" t="n"/>
      <c r="J90" s="60" t="n"/>
      <c r="K90" s="61">
        <f>IF(OR(B90="",D90="Cut"),"",IF(COUNTA(F90:J90)&lt;5,"Answer all 5",IF(COUNTIF(F90:J90,"Y")&gt;0,"High","Low")))</f>
        <v/>
      </c>
      <c r="L90" s="60" t="n"/>
      <c r="M90" s="60" t="n"/>
      <c r="N90" s="60" t="n"/>
      <c r="O90" s="60" t="n"/>
      <c r="P90" s="61">
        <f>IF(OR(B90="",D90="Cut"),"",IF(COUNTA(L90:O90)&lt;4,"Answer all 4",IF(COUNTIF(L90:O90,"Y")&gt;0,"Hard","Easy")))</f>
        <v/>
      </c>
      <c r="Q90" s="60" t="n"/>
      <c r="R90" s="61">
        <f>IF(B90="","",IF(D90="Cut","Cut",IF(Q90="Y","Human",IF(OR(K90="Answer all 5",P90="Answer all 4"),"Score it",IF(K90="High",IF(P90="Hard","Human","Assist"),IF(P90="Hard","Agent","Automate"))))))</f>
        <v/>
      </c>
      <c r="S90" s="60" t="n"/>
      <c r="T90" s="59" t="n"/>
      <c r="U90" s="62" t="n"/>
      <c r="V90" s="57">
        <f>IF(B90="","",IF(R90="Cut","Stop doing this task.",IF(R90="Score it","Answer all nine questions.",IF(AND(R90="Human",Q90&lt;&gt;"Y"),"Confirm it stays Human, or redesign it so it is easier to check and score again.",IF(AND(R90="Agent",S90&lt;&gt;"Y"),"Write the agent job description before it goes live.",IF(T90="","Name an owner.",IF(U90="","Set a review date.","Ready.")))))))</f>
        <v/>
      </c>
    </row>
    <row r="91" ht="15" customHeight="1" s="41">
      <c r="A91" s="57">
        <f>IF(Taxonomy!A91="","",Taxonomy!A91)</f>
        <v/>
      </c>
      <c r="B91" s="57">
        <f>IF(Taxonomy!E91="","",Taxonomy!E91)</f>
        <v/>
      </c>
      <c r="C91" s="58">
        <f>IF(Taxonomy!J91="","",Taxonomy!J91)</f>
        <v/>
      </c>
      <c r="D91" s="57">
        <f>IF(Taxonomy!S91="","",Taxonomy!S91)</f>
        <v/>
      </c>
      <c r="E91" s="59" t="n"/>
      <c r="F91" s="60" t="n"/>
      <c r="G91" s="60" t="n"/>
      <c r="H91" s="60" t="n"/>
      <c r="I91" s="60" t="n"/>
      <c r="J91" s="60" t="n"/>
      <c r="K91" s="61">
        <f>IF(OR(B91="",D91="Cut"),"",IF(COUNTA(F91:J91)&lt;5,"Answer all 5",IF(COUNTIF(F91:J91,"Y")&gt;0,"High","Low")))</f>
        <v/>
      </c>
      <c r="L91" s="60" t="n"/>
      <c r="M91" s="60" t="n"/>
      <c r="N91" s="60" t="n"/>
      <c r="O91" s="60" t="n"/>
      <c r="P91" s="61">
        <f>IF(OR(B91="",D91="Cut"),"",IF(COUNTA(L91:O91)&lt;4,"Answer all 4",IF(COUNTIF(L91:O91,"Y")&gt;0,"Hard","Easy")))</f>
        <v/>
      </c>
      <c r="Q91" s="60" t="n"/>
      <c r="R91" s="61">
        <f>IF(B91="","",IF(D91="Cut","Cut",IF(Q91="Y","Human",IF(OR(K91="Answer all 5",P91="Answer all 4"),"Score it",IF(K91="High",IF(P91="Hard","Human","Assist"),IF(P91="Hard","Agent","Automate"))))))</f>
        <v/>
      </c>
      <c r="S91" s="60" t="n"/>
      <c r="T91" s="59" t="n"/>
      <c r="U91" s="62" t="n"/>
      <c r="V91" s="57">
        <f>IF(B91="","",IF(R91="Cut","Stop doing this task.",IF(R91="Score it","Answer all nine questions.",IF(AND(R91="Human",Q91&lt;&gt;"Y"),"Confirm it stays Human, or redesign it so it is easier to check and score again.",IF(AND(R91="Agent",S91&lt;&gt;"Y"),"Write the agent job description before it goes live.",IF(T91="","Name an owner.",IF(U91="","Set a review date.","Ready.")))))))</f>
        <v/>
      </c>
    </row>
    <row r="92" ht="15" customHeight="1" s="41">
      <c r="A92" s="57">
        <f>IF(Taxonomy!A92="","",Taxonomy!A92)</f>
        <v/>
      </c>
      <c r="B92" s="57">
        <f>IF(Taxonomy!E92="","",Taxonomy!E92)</f>
        <v/>
      </c>
      <c r="C92" s="58">
        <f>IF(Taxonomy!J92="","",Taxonomy!J92)</f>
        <v/>
      </c>
      <c r="D92" s="57">
        <f>IF(Taxonomy!S92="","",Taxonomy!S92)</f>
        <v/>
      </c>
      <c r="E92" s="59" t="n"/>
      <c r="F92" s="60" t="n"/>
      <c r="G92" s="60" t="n"/>
      <c r="H92" s="60" t="n"/>
      <c r="I92" s="60" t="n"/>
      <c r="J92" s="60" t="n"/>
      <c r="K92" s="61">
        <f>IF(OR(B92="",D92="Cut"),"",IF(COUNTA(F92:J92)&lt;5,"Answer all 5",IF(COUNTIF(F92:J92,"Y")&gt;0,"High","Low")))</f>
        <v/>
      </c>
      <c r="L92" s="60" t="n"/>
      <c r="M92" s="60" t="n"/>
      <c r="N92" s="60" t="n"/>
      <c r="O92" s="60" t="n"/>
      <c r="P92" s="61">
        <f>IF(OR(B92="",D92="Cut"),"",IF(COUNTA(L92:O92)&lt;4,"Answer all 4",IF(COUNTIF(L92:O92,"Y")&gt;0,"Hard","Easy")))</f>
        <v/>
      </c>
      <c r="Q92" s="60" t="n"/>
      <c r="R92" s="61">
        <f>IF(B92="","",IF(D92="Cut","Cut",IF(Q92="Y","Human",IF(OR(K92="Answer all 5",P92="Answer all 4"),"Score it",IF(K92="High",IF(P92="Hard","Human","Assist"),IF(P92="Hard","Agent","Automate"))))))</f>
        <v/>
      </c>
      <c r="S92" s="60" t="n"/>
      <c r="T92" s="59" t="n"/>
      <c r="U92" s="62" t="n"/>
      <c r="V92" s="57">
        <f>IF(B92="","",IF(R92="Cut","Stop doing this task.",IF(R92="Score it","Answer all nine questions.",IF(AND(R92="Human",Q92&lt;&gt;"Y"),"Confirm it stays Human, or redesign it so it is easier to check and score again.",IF(AND(R92="Agent",S92&lt;&gt;"Y"),"Write the agent job description before it goes live.",IF(T92="","Name an owner.",IF(U92="","Set a review date.","Ready.")))))))</f>
        <v/>
      </c>
    </row>
    <row r="93" ht="15" customHeight="1" s="41">
      <c r="A93" s="57">
        <f>IF(Taxonomy!A93="","",Taxonomy!A93)</f>
        <v/>
      </c>
      <c r="B93" s="57">
        <f>IF(Taxonomy!E93="","",Taxonomy!E93)</f>
        <v/>
      </c>
      <c r="C93" s="58">
        <f>IF(Taxonomy!J93="","",Taxonomy!J93)</f>
        <v/>
      </c>
      <c r="D93" s="57">
        <f>IF(Taxonomy!S93="","",Taxonomy!S93)</f>
        <v/>
      </c>
      <c r="E93" s="59" t="n"/>
      <c r="F93" s="60" t="n"/>
      <c r="G93" s="60" t="n"/>
      <c r="H93" s="60" t="n"/>
      <c r="I93" s="60" t="n"/>
      <c r="J93" s="60" t="n"/>
      <c r="K93" s="61">
        <f>IF(OR(B93="",D93="Cut"),"",IF(COUNTA(F93:J93)&lt;5,"Answer all 5",IF(COUNTIF(F93:J93,"Y")&gt;0,"High","Low")))</f>
        <v/>
      </c>
      <c r="L93" s="60" t="n"/>
      <c r="M93" s="60" t="n"/>
      <c r="N93" s="60" t="n"/>
      <c r="O93" s="60" t="n"/>
      <c r="P93" s="61">
        <f>IF(OR(B93="",D93="Cut"),"",IF(COUNTA(L93:O93)&lt;4,"Answer all 4",IF(COUNTIF(L93:O93,"Y")&gt;0,"Hard","Easy")))</f>
        <v/>
      </c>
      <c r="Q93" s="60" t="n"/>
      <c r="R93" s="61">
        <f>IF(B93="","",IF(D93="Cut","Cut",IF(Q93="Y","Human",IF(OR(K93="Answer all 5",P93="Answer all 4"),"Score it",IF(K93="High",IF(P93="Hard","Human","Assist"),IF(P93="Hard","Agent","Automate"))))))</f>
        <v/>
      </c>
      <c r="S93" s="60" t="n"/>
      <c r="T93" s="59" t="n"/>
      <c r="U93" s="62" t="n"/>
      <c r="V93" s="57">
        <f>IF(B93="","",IF(R93="Cut","Stop doing this task.",IF(R93="Score it","Answer all nine questions.",IF(AND(R93="Human",Q93&lt;&gt;"Y"),"Confirm it stays Human, or redesign it so it is easier to check and score again.",IF(AND(R93="Agent",S93&lt;&gt;"Y"),"Write the agent job description before it goes live.",IF(T93="","Name an owner.",IF(U93="","Set a review date.","Ready.")))))))</f>
        <v/>
      </c>
    </row>
    <row r="94" ht="15" customHeight="1" s="41">
      <c r="A94" s="57">
        <f>IF(Taxonomy!A94="","",Taxonomy!A94)</f>
        <v/>
      </c>
      <c r="B94" s="57">
        <f>IF(Taxonomy!E94="","",Taxonomy!E94)</f>
        <v/>
      </c>
      <c r="C94" s="58">
        <f>IF(Taxonomy!J94="","",Taxonomy!J94)</f>
        <v/>
      </c>
      <c r="D94" s="57">
        <f>IF(Taxonomy!S94="","",Taxonomy!S94)</f>
        <v/>
      </c>
      <c r="E94" s="59" t="n"/>
      <c r="F94" s="60" t="n"/>
      <c r="G94" s="60" t="n"/>
      <c r="H94" s="60" t="n"/>
      <c r="I94" s="60" t="n"/>
      <c r="J94" s="60" t="n"/>
      <c r="K94" s="61">
        <f>IF(OR(B94="",D94="Cut"),"",IF(COUNTA(F94:J94)&lt;5,"Answer all 5",IF(COUNTIF(F94:J94,"Y")&gt;0,"High","Low")))</f>
        <v/>
      </c>
      <c r="L94" s="60" t="n"/>
      <c r="M94" s="60" t="n"/>
      <c r="N94" s="60" t="n"/>
      <c r="O94" s="60" t="n"/>
      <c r="P94" s="61">
        <f>IF(OR(B94="",D94="Cut"),"",IF(COUNTA(L94:O94)&lt;4,"Answer all 4",IF(COUNTIF(L94:O94,"Y")&gt;0,"Hard","Easy")))</f>
        <v/>
      </c>
      <c r="Q94" s="60" t="n"/>
      <c r="R94" s="61">
        <f>IF(B94="","",IF(D94="Cut","Cut",IF(Q94="Y","Human",IF(OR(K94="Answer all 5",P94="Answer all 4"),"Score it",IF(K94="High",IF(P94="Hard","Human","Assist"),IF(P94="Hard","Agent","Automate"))))))</f>
        <v/>
      </c>
      <c r="S94" s="60" t="n"/>
      <c r="T94" s="59" t="n"/>
      <c r="U94" s="62" t="n"/>
      <c r="V94" s="57">
        <f>IF(B94="","",IF(R94="Cut","Stop doing this task.",IF(R94="Score it","Answer all nine questions.",IF(AND(R94="Human",Q94&lt;&gt;"Y"),"Confirm it stays Human, or redesign it so it is easier to check and score again.",IF(AND(R94="Agent",S94&lt;&gt;"Y"),"Write the agent job description before it goes live.",IF(T94="","Name an owner.",IF(U94="","Set a review date.","Ready.")))))))</f>
        <v/>
      </c>
    </row>
    <row r="95" ht="15" customHeight="1" s="41">
      <c r="A95" s="57">
        <f>IF(Taxonomy!A95="","",Taxonomy!A95)</f>
        <v/>
      </c>
      <c r="B95" s="57">
        <f>IF(Taxonomy!E95="","",Taxonomy!E95)</f>
        <v/>
      </c>
      <c r="C95" s="58">
        <f>IF(Taxonomy!J95="","",Taxonomy!J95)</f>
        <v/>
      </c>
      <c r="D95" s="57">
        <f>IF(Taxonomy!S95="","",Taxonomy!S95)</f>
        <v/>
      </c>
      <c r="E95" s="59" t="n"/>
      <c r="F95" s="60" t="n"/>
      <c r="G95" s="60" t="n"/>
      <c r="H95" s="60" t="n"/>
      <c r="I95" s="60" t="n"/>
      <c r="J95" s="60" t="n"/>
      <c r="K95" s="61">
        <f>IF(OR(B95="",D95="Cut"),"",IF(COUNTA(F95:J95)&lt;5,"Answer all 5",IF(COUNTIF(F95:J95,"Y")&gt;0,"High","Low")))</f>
        <v/>
      </c>
      <c r="L95" s="60" t="n"/>
      <c r="M95" s="60" t="n"/>
      <c r="N95" s="60" t="n"/>
      <c r="O95" s="60" t="n"/>
      <c r="P95" s="61">
        <f>IF(OR(B95="",D95="Cut"),"",IF(COUNTA(L95:O95)&lt;4,"Answer all 4",IF(COUNTIF(L95:O95,"Y")&gt;0,"Hard","Easy")))</f>
        <v/>
      </c>
      <c r="Q95" s="60" t="n"/>
      <c r="R95" s="61">
        <f>IF(B95="","",IF(D95="Cut","Cut",IF(Q95="Y","Human",IF(OR(K95="Answer all 5",P95="Answer all 4"),"Score it",IF(K95="High",IF(P95="Hard","Human","Assist"),IF(P95="Hard","Agent","Automate"))))))</f>
        <v/>
      </c>
      <c r="S95" s="60" t="n"/>
      <c r="T95" s="59" t="n"/>
      <c r="U95" s="62" t="n"/>
      <c r="V95" s="57">
        <f>IF(B95="","",IF(R95="Cut","Stop doing this task.",IF(R95="Score it","Answer all nine questions.",IF(AND(R95="Human",Q95&lt;&gt;"Y"),"Confirm it stays Human, or redesign it so it is easier to check and score again.",IF(AND(R95="Agent",S95&lt;&gt;"Y"),"Write the agent job description before it goes live.",IF(T95="","Name an owner.",IF(U95="","Set a review date.","Ready.")))))))</f>
        <v/>
      </c>
    </row>
    <row r="96" ht="15" customHeight="1" s="41">
      <c r="A96" s="57">
        <f>IF(Taxonomy!A96="","",Taxonomy!A96)</f>
        <v/>
      </c>
      <c r="B96" s="57">
        <f>IF(Taxonomy!E96="","",Taxonomy!E96)</f>
        <v/>
      </c>
      <c r="C96" s="58">
        <f>IF(Taxonomy!J96="","",Taxonomy!J96)</f>
        <v/>
      </c>
      <c r="D96" s="57">
        <f>IF(Taxonomy!S96="","",Taxonomy!S96)</f>
        <v/>
      </c>
      <c r="E96" s="59" t="n"/>
      <c r="F96" s="60" t="n"/>
      <c r="G96" s="60" t="n"/>
      <c r="H96" s="60" t="n"/>
      <c r="I96" s="60" t="n"/>
      <c r="J96" s="60" t="n"/>
      <c r="K96" s="61">
        <f>IF(OR(B96="",D96="Cut"),"",IF(COUNTA(F96:J96)&lt;5,"Answer all 5",IF(COUNTIF(F96:J96,"Y")&gt;0,"High","Low")))</f>
        <v/>
      </c>
      <c r="L96" s="60" t="n"/>
      <c r="M96" s="60" t="n"/>
      <c r="N96" s="60" t="n"/>
      <c r="O96" s="60" t="n"/>
      <c r="P96" s="61">
        <f>IF(OR(B96="",D96="Cut"),"",IF(COUNTA(L96:O96)&lt;4,"Answer all 4",IF(COUNTIF(L96:O96,"Y")&gt;0,"Hard","Easy")))</f>
        <v/>
      </c>
      <c r="Q96" s="60" t="n"/>
      <c r="R96" s="61">
        <f>IF(B96="","",IF(D96="Cut","Cut",IF(Q96="Y","Human",IF(OR(K96="Answer all 5",P96="Answer all 4"),"Score it",IF(K96="High",IF(P96="Hard","Human","Assist"),IF(P96="Hard","Agent","Automate"))))))</f>
        <v/>
      </c>
      <c r="S96" s="60" t="n"/>
      <c r="T96" s="59" t="n"/>
      <c r="U96" s="62" t="n"/>
      <c r="V96" s="57">
        <f>IF(B96="","",IF(R96="Cut","Stop doing this task.",IF(R96="Score it","Answer all nine questions.",IF(AND(R96="Human",Q96&lt;&gt;"Y"),"Confirm it stays Human, or redesign it so it is easier to check and score again.",IF(AND(R96="Agent",S96&lt;&gt;"Y"),"Write the agent job description before it goes live.",IF(T96="","Name an owner.",IF(U96="","Set a review date.","Ready.")))))))</f>
        <v/>
      </c>
    </row>
    <row r="97" ht="15" customHeight="1" s="41">
      <c r="A97" s="57">
        <f>IF(Taxonomy!A97="","",Taxonomy!A97)</f>
        <v/>
      </c>
      <c r="B97" s="57">
        <f>IF(Taxonomy!E97="","",Taxonomy!E97)</f>
        <v/>
      </c>
      <c r="C97" s="58">
        <f>IF(Taxonomy!J97="","",Taxonomy!J97)</f>
        <v/>
      </c>
      <c r="D97" s="57">
        <f>IF(Taxonomy!S97="","",Taxonomy!S97)</f>
        <v/>
      </c>
      <c r="E97" s="59" t="n"/>
      <c r="F97" s="60" t="n"/>
      <c r="G97" s="60" t="n"/>
      <c r="H97" s="60" t="n"/>
      <c r="I97" s="60" t="n"/>
      <c r="J97" s="60" t="n"/>
      <c r="K97" s="61">
        <f>IF(OR(B97="",D97="Cut"),"",IF(COUNTA(F97:J97)&lt;5,"Answer all 5",IF(COUNTIF(F97:J97,"Y")&gt;0,"High","Low")))</f>
        <v/>
      </c>
      <c r="L97" s="60" t="n"/>
      <c r="M97" s="60" t="n"/>
      <c r="N97" s="60" t="n"/>
      <c r="O97" s="60" t="n"/>
      <c r="P97" s="61">
        <f>IF(OR(B97="",D97="Cut"),"",IF(COUNTA(L97:O97)&lt;4,"Answer all 4",IF(COUNTIF(L97:O97,"Y")&gt;0,"Hard","Easy")))</f>
        <v/>
      </c>
      <c r="Q97" s="60" t="n"/>
      <c r="R97" s="61">
        <f>IF(B97="","",IF(D97="Cut","Cut",IF(Q97="Y","Human",IF(OR(K97="Answer all 5",P97="Answer all 4"),"Score it",IF(K97="High",IF(P97="Hard","Human","Assist"),IF(P97="Hard","Agent","Automate"))))))</f>
        <v/>
      </c>
      <c r="S97" s="60" t="n"/>
      <c r="T97" s="59" t="n"/>
      <c r="U97" s="62" t="n"/>
      <c r="V97" s="57">
        <f>IF(B97="","",IF(R97="Cut","Stop doing this task.",IF(R97="Score it","Answer all nine questions.",IF(AND(R97="Human",Q97&lt;&gt;"Y"),"Confirm it stays Human, or redesign it so it is easier to check and score again.",IF(AND(R97="Agent",S97&lt;&gt;"Y"),"Write the agent job description before it goes live.",IF(T97="","Name an owner.",IF(U97="","Set a review date.","Ready.")))))))</f>
        <v/>
      </c>
    </row>
    <row r="98" ht="15" customHeight="1" s="41">
      <c r="A98" s="57">
        <f>IF(Taxonomy!A98="","",Taxonomy!A98)</f>
        <v/>
      </c>
      <c r="B98" s="57">
        <f>IF(Taxonomy!E98="","",Taxonomy!E98)</f>
        <v/>
      </c>
      <c r="C98" s="58">
        <f>IF(Taxonomy!J98="","",Taxonomy!J98)</f>
        <v/>
      </c>
      <c r="D98" s="57">
        <f>IF(Taxonomy!S98="","",Taxonomy!S98)</f>
        <v/>
      </c>
      <c r="E98" s="59" t="n"/>
      <c r="F98" s="60" t="n"/>
      <c r="G98" s="60" t="n"/>
      <c r="H98" s="60" t="n"/>
      <c r="I98" s="60" t="n"/>
      <c r="J98" s="60" t="n"/>
      <c r="K98" s="61">
        <f>IF(OR(B98="",D98="Cut"),"",IF(COUNTA(F98:J98)&lt;5,"Answer all 5",IF(COUNTIF(F98:J98,"Y")&gt;0,"High","Low")))</f>
        <v/>
      </c>
      <c r="L98" s="60" t="n"/>
      <c r="M98" s="60" t="n"/>
      <c r="N98" s="60" t="n"/>
      <c r="O98" s="60" t="n"/>
      <c r="P98" s="61">
        <f>IF(OR(B98="",D98="Cut"),"",IF(COUNTA(L98:O98)&lt;4,"Answer all 4",IF(COUNTIF(L98:O98,"Y")&gt;0,"Hard","Easy")))</f>
        <v/>
      </c>
      <c r="Q98" s="60" t="n"/>
      <c r="R98" s="61">
        <f>IF(B98="","",IF(D98="Cut","Cut",IF(Q98="Y","Human",IF(OR(K98="Answer all 5",P98="Answer all 4"),"Score it",IF(K98="High",IF(P98="Hard","Human","Assist"),IF(P98="Hard","Agent","Automate"))))))</f>
        <v/>
      </c>
      <c r="S98" s="60" t="n"/>
      <c r="T98" s="59" t="n"/>
      <c r="U98" s="62" t="n"/>
      <c r="V98" s="57">
        <f>IF(B98="","",IF(R98="Cut","Stop doing this task.",IF(R98="Score it","Answer all nine questions.",IF(AND(R98="Human",Q98&lt;&gt;"Y"),"Confirm it stays Human, or redesign it so it is easier to check and score again.",IF(AND(R98="Agent",S98&lt;&gt;"Y"),"Write the agent job description before it goes live.",IF(T98="","Name an owner.",IF(U98="","Set a review date.","Ready.")))))))</f>
        <v/>
      </c>
    </row>
    <row r="99" ht="15" customHeight="1" s="41">
      <c r="A99" s="57">
        <f>IF(Taxonomy!A99="","",Taxonomy!A99)</f>
        <v/>
      </c>
      <c r="B99" s="57">
        <f>IF(Taxonomy!E99="","",Taxonomy!E99)</f>
        <v/>
      </c>
      <c r="C99" s="58">
        <f>IF(Taxonomy!J99="","",Taxonomy!J99)</f>
        <v/>
      </c>
      <c r="D99" s="57">
        <f>IF(Taxonomy!S99="","",Taxonomy!S99)</f>
        <v/>
      </c>
      <c r="E99" s="59" t="n"/>
      <c r="F99" s="60" t="n"/>
      <c r="G99" s="60" t="n"/>
      <c r="H99" s="60" t="n"/>
      <c r="I99" s="60" t="n"/>
      <c r="J99" s="60" t="n"/>
      <c r="K99" s="61">
        <f>IF(OR(B99="",D99="Cut"),"",IF(COUNTA(F99:J99)&lt;5,"Answer all 5",IF(COUNTIF(F99:J99,"Y")&gt;0,"High","Low")))</f>
        <v/>
      </c>
      <c r="L99" s="60" t="n"/>
      <c r="M99" s="60" t="n"/>
      <c r="N99" s="60" t="n"/>
      <c r="O99" s="60" t="n"/>
      <c r="P99" s="61">
        <f>IF(OR(B99="",D99="Cut"),"",IF(COUNTA(L99:O99)&lt;4,"Answer all 4",IF(COUNTIF(L99:O99,"Y")&gt;0,"Hard","Easy")))</f>
        <v/>
      </c>
      <c r="Q99" s="60" t="n"/>
      <c r="R99" s="61">
        <f>IF(B99="","",IF(D99="Cut","Cut",IF(Q99="Y","Human",IF(OR(K99="Answer all 5",P99="Answer all 4"),"Score it",IF(K99="High",IF(P99="Hard","Human","Assist"),IF(P99="Hard","Agent","Automate"))))))</f>
        <v/>
      </c>
      <c r="S99" s="60" t="n"/>
      <c r="T99" s="59" t="n"/>
      <c r="U99" s="62" t="n"/>
      <c r="V99" s="57">
        <f>IF(B99="","",IF(R99="Cut","Stop doing this task.",IF(R99="Score it","Answer all nine questions.",IF(AND(R99="Human",Q99&lt;&gt;"Y"),"Confirm it stays Human, or redesign it so it is easier to check and score again.",IF(AND(R99="Agent",S99&lt;&gt;"Y"),"Write the agent job description before it goes live.",IF(T99="","Name an owner.",IF(U99="","Set a review date.","Ready.")))))))</f>
        <v/>
      </c>
    </row>
    <row r="100" ht="15" customHeight="1" s="41">
      <c r="A100" s="57">
        <f>IF(Taxonomy!A100="","",Taxonomy!A100)</f>
        <v/>
      </c>
      <c r="B100" s="57">
        <f>IF(Taxonomy!E100="","",Taxonomy!E100)</f>
        <v/>
      </c>
      <c r="C100" s="58">
        <f>IF(Taxonomy!J100="","",Taxonomy!J100)</f>
        <v/>
      </c>
      <c r="D100" s="57">
        <f>IF(Taxonomy!S100="","",Taxonomy!S100)</f>
        <v/>
      </c>
      <c r="E100" s="59" t="n"/>
      <c r="F100" s="60" t="n"/>
      <c r="G100" s="60" t="n"/>
      <c r="H100" s="60" t="n"/>
      <c r="I100" s="60" t="n"/>
      <c r="J100" s="60" t="n"/>
      <c r="K100" s="61">
        <f>IF(OR(B100="",D100="Cut"),"",IF(COUNTA(F100:J100)&lt;5,"Answer all 5",IF(COUNTIF(F100:J100,"Y")&gt;0,"High","Low")))</f>
        <v/>
      </c>
      <c r="L100" s="60" t="n"/>
      <c r="M100" s="60" t="n"/>
      <c r="N100" s="60" t="n"/>
      <c r="O100" s="60" t="n"/>
      <c r="P100" s="61">
        <f>IF(OR(B100="",D100="Cut"),"",IF(COUNTA(L100:O100)&lt;4,"Answer all 4",IF(COUNTIF(L100:O100,"Y")&gt;0,"Hard","Easy")))</f>
        <v/>
      </c>
      <c r="Q100" s="60" t="n"/>
      <c r="R100" s="61">
        <f>IF(B100="","",IF(D100="Cut","Cut",IF(Q100="Y","Human",IF(OR(K100="Answer all 5",P100="Answer all 4"),"Score it",IF(K100="High",IF(P100="Hard","Human","Assist"),IF(P100="Hard","Agent","Automate"))))))</f>
        <v/>
      </c>
      <c r="S100" s="60" t="n"/>
      <c r="T100" s="59" t="n"/>
      <c r="U100" s="62" t="n"/>
      <c r="V100" s="57">
        <f>IF(B100="","",IF(R100="Cut","Stop doing this task.",IF(R100="Score it","Answer all nine questions.",IF(AND(R100="Human",Q100&lt;&gt;"Y"),"Confirm it stays Human, or redesign it so it is easier to check and score again.",IF(AND(R100="Agent",S100&lt;&gt;"Y"),"Write the agent job description before it goes live.",IF(T100="","Name an owner.",IF(U100="","Set a review date.","Ready.")))))))</f>
        <v/>
      </c>
    </row>
    <row r="101" ht="15" customHeight="1" s="41">
      <c r="A101" s="57">
        <f>IF(Taxonomy!A101="","",Taxonomy!A101)</f>
        <v/>
      </c>
      <c r="B101" s="57">
        <f>IF(Taxonomy!E101="","",Taxonomy!E101)</f>
        <v/>
      </c>
      <c r="C101" s="58">
        <f>IF(Taxonomy!J101="","",Taxonomy!J101)</f>
        <v/>
      </c>
      <c r="D101" s="57">
        <f>IF(Taxonomy!S101="","",Taxonomy!S101)</f>
        <v/>
      </c>
      <c r="E101" s="59" t="n"/>
      <c r="F101" s="60" t="n"/>
      <c r="G101" s="60" t="n"/>
      <c r="H101" s="60" t="n"/>
      <c r="I101" s="60" t="n"/>
      <c r="J101" s="60" t="n"/>
      <c r="K101" s="61">
        <f>IF(OR(B101="",D101="Cut"),"",IF(COUNTA(F101:J101)&lt;5,"Answer all 5",IF(COUNTIF(F101:J101,"Y")&gt;0,"High","Low")))</f>
        <v/>
      </c>
      <c r="L101" s="60" t="n"/>
      <c r="M101" s="60" t="n"/>
      <c r="N101" s="60" t="n"/>
      <c r="O101" s="60" t="n"/>
      <c r="P101" s="61">
        <f>IF(OR(B101="",D101="Cut"),"",IF(COUNTA(L101:O101)&lt;4,"Answer all 4",IF(COUNTIF(L101:O101,"Y")&gt;0,"Hard","Easy")))</f>
        <v/>
      </c>
      <c r="Q101" s="60" t="n"/>
      <c r="R101" s="61">
        <f>IF(B101="","",IF(D101="Cut","Cut",IF(Q101="Y","Human",IF(OR(K101="Answer all 5",P101="Answer all 4"),"Score it",IF(K101="High",IF(P101="Hard","Human","Assist"),IF(P101="Hard","Agent","Automate"))))))</f>
        <v/>
      </c>
      <c r="S101" s="60" t="n"/>
      <c r="T101" s="59" t="n"/>
      <c r="U101" s="62" t="n"/>
      <c r="V101" s="57">
        <f>IF(B101="","",IF(R101="Cut","Stop doing this task.",IF(R101="Score it","Answer all nine questions.",IF(AND(R101="Human",Q101&lt;&gt;"Y"),"Confirm it stays Human, or redesign it so it is easier to check and score again.",IF(AND(R101="Agent",S101&lt;&gt;"Y"),"Write the agent job description before it goes live.",IF(T101="","Name an owner.",IF(U101="","Set a review date.","Ready.")))))))</f>
        <v/>
      </c>
    </row>
    <row r="102" ht="15" customHeight="1" s="41">
      <c r="A102" s="57">
        <f>IF(Taxonomy!A102="","",Taxonomy!A102)</f>
        <v/>
      </c>
      <c r="B102" s="57">
        <f>IF(Taxonomy!E102="","",Taxonomy!E102)</f>
        <v/>
      </c>
      <c r="C102" s="58">
        <f>IF(Taxonomy!J102="","",Taxonomy!J102)</f>
        <v/>
      </c>
      <c r="D102" s="57">
        <f>IF(Taxonomy!S102="","",Taxonomy!S102)</f>
        <v/>
      </c>
      <c r="E102" s="59" t="n"/>
      <c r="F102" s="60" t="n"/>
      <c r="G102" s="60" t="n"/>
      <c r="H102" s="60" t="n"/>
      <c r="I102" s="60" t="n"/>
      <c r="J102" s="60" t="n"/>
      <c r="K102" s="61">
        <f>IF(OR(B102="",D102="Cut"),"",IF(COUNTA(F102:J102)&lt;5,"Answer all 5",IF(COUNTIF(F102:J102,"Y")&gt;0,"High","Low")))</f>
        <v/>
      </c>
      <c r="L102" s="60" t="n"/>
      <c r="M102" s="60" t="n"/>
      <c r="N102" s="60" t="n"/>
      <c r="O102" s="60" t="n"/>
      <c r="P102" s="61">
        <f>IF(OR(B102="",D102="Cut"),"",IF(COUNTA(L102:O102)&lt;4,"Answer all 4",IF(COUNTIF(L102:O102,"Y")&gt;0,"Hard","Easy")))</f>
        <v/>
      </c>
      <c r="Q102" s="60" t="n"/>
      <c r="R102" s="61">
        <f>IF(B102="","",IF(D102="Cut","Cut",IF(Q102="Y","Human",IF(OR(K102="Answer all 5",P102="Answer all 4"),"Score it",IF(K102="High",IF(P102="Hard","Human","Assist"),IF(P102="Hard","Agent","Automate"))))))</f>
        <v/>
      </c>
      <c r="S102" s="60" t="n"/>
      <c r="T102" s="59" t="n"/>
      <c r="U102" s="62" t="n"/>
      <c r="V102" s="57">
        <f>IF(B102="","",IF(R102="Cut","Stop doing this task.",IF(R102="Score it","Answer all nine questions.",IF(AND(R102="Human",Q102&lt;&gt;"Y"),"Confirm it stays Human, or redesign it so it is easier to check and score again.",IF(AND(R102="Agent",S102&lt;&gt;"Y"),"Write the agent job description before it goes live.",IF(T102="","Name an owner.",IF(U102="","Set a review date.","Ready.")))))))</f>
        <v/>
      </c>
    </row>
    <row r="103" ht="15" customHeight="1" s="41">
      <c r="A103" s="57">
        <f>IF(Taxonomy!A103="","",Taxonomy!A103)</f>
        <v/>
      </c>
      <c r="B103" s="57">
        <f>IF(Taxonomy!E103="","",Taxonomy!E103)</f>
        <v/>
      </c>
      <c r="C103" s="58">
        <f>IF(Taxonomy!J103="","",Taxonomy!J103)</f>
        <v/>
      </c>
      <c r="D103" s="57">
        <f>IF(Taxonomy!S103="","",Taxonomy!S103)</f>
        <v/>
      </c>
      <c r="E103" s="59" t="n"/>
      <c r="F103" s="60" t="n"/>
      <c r="G103" s="60" t="n"/>
      <c r="H103" s="60" t="n"/>
      <c r="I103" s="60" t="n"/>
      <c r="J103" s="60" t="n"/>
      <c r="K103" s="61">
        <f>IF(OR(B103="",D103="Cut"),"",IF(COUNTA(F103:J103)&lt;5,"Answer all 5",IF(COUNTIF(F103:J103,"Y")&gt;0,"High","Low")))</f>
        <v/>
      </c>
      <c r="L103" s="60" t="n"/>
      <c r="M103" s="60" t="n"/>
      <c r="N103" s="60" t="n"/>
      <c r="O103" s="60" t="n"/>
      <c r="P103" s="61">
        <f>IF(OR(B103="",D103="Cut"),"",IF(COUNTA(L103:O103)&lt;4,"Answer all 4",IF(COUNTIF(L103:O103,"Y")&gt;0,"Hard","Easy")))</f>
        <v/>
      </c>
      <c r="Q103" s="60" t="n"/>
      <c r="R103" s="61">
        <f>IF(B103="","",IF(D103="Cut","Cut",IF(Q103="Y","Human",IF(OR(K103="Answer all 5",P103="Answer all 4"),"Score it",IF(K103="High",IF(P103="Hard","Human","Assist"),IF(P103="Hard","Agent","Automate"))))))</f>
        <v/>
      </c>
      <c r="S103" s="60" t="n"/>
      <c r="T103" s="59" t="n"/>
      <c r="U103" s="62" t="n"/>
      <c r="V103" s="57">
        <f>IF(B103="","",IF(R103="Cut","Stop doing this task.",IF(R103="Score it","Answer all nine questions.",IF(AND(R103="Human",Q103&lt;&gt;"Y"),"Confirm it stays Human, or redesign it so it is easier to check and score again.",IF(AND(R103="Agent",S103&lt;&gt;"Y"),"Write the agent job description before it goes live.",IF(T103="","Name an owner.",IF(U103="","Set a review date.","Ready.")))))))</f>
        <v/>
      </c>
    </row>
    <row r="104" ht="15" customHeight="1" s="41">
      <c r="A104" s="57">
        <f>IF(Taxonomy!A104="","",Taxonomy!A104)</f>
        <v/>
      </c>
      <c r="B104" s="57">
        <f>IF(Taxonomy!E104="","",Taxonomy!E104)</f>
        <v/>
      </c>
      <c r="C104" s="58">
        <f>IF(Taxonomy!J104="","",Taxonomy!J104)</f>
        <v/>
      </c>
      <c r="D104" s="57">
        <f>IF(Taxonomy!S104="","",Taxonomy!S104)</f>
        <v/>
      </c>
      <c r="E104" s="59" t="n"/>
      <c r="F104" s="60" t="n"/>
      <c r="G104" s="60" t="n"/>
      <c r="H104" s="60" t="n"/>
      <c r="I104" s="60" t="n"/>
      <c r="J104" s="60" t="n"/>
      <c r="K104" s="61">
        <f>IF(OR(B104="",D104="Cut"),"",IF(COUNTA(F104:J104)&lt;5,"Answer all 5",IF(COUNTIF(F104:J104,"Y")&gt;0,"High","Low")))</f>
        <v/>
      </c>
      <c r="L104" s="60" t="n"/>
      <c r="M104" s="60" t="n"/>
      <c r="N104" s="60" t="n"/>
      <c r="O104" s="60" t="n"/>
      <c r="P104" s="61">
        <f>IF(OR(B104="",D104="Cut"),"",IF(COUNTA(L104:O104)&lt;4,"Answer all 4",IF(COUNTIF(L104:O104,"Y")&gt;0,"Hard","Easy")))</f>
        <v/>
      </c>
      <c r="Q104" s="60" t="n"/>
      <c r="R104" s="61">
        <f>IF(B104="","",IF(D104="Cut","Cut",IF(Q104="Y","Human",IF(OR(K104="Answer all 5",P104="Answer all 4"),"Score it",IF(K104="High",IF(P104="Hard","Human","Assist"),IF(P104="Hard","Agent","Automate"))))))</f>
        <v/>
      </c>
      <c r="S104" s="60" t="n"/>
      <c r="T104" s="59" t="n"/>
      <c r="U104" s="62" t="n"/>
      <c r="V104" s="57">
        <f>IF(B104="","",IF(R104="Cut","Stop doing this task.",IF(R104="Score it","Answer all nine questions.",IF(AND(R104="Human",Q104&lt;&gt;"Y"),"Confirm it stays Human, or redesign it so it is easier to check and score again.",IF(AND(R104="Agent",S104&lt;&gt;"Y"),"Write the agent job description before it goes live.",IF(T104="","Name an owner.",IF(U104="","Set a review date.","Ready.")))))))</f>
        <v/>
      </c>
    </row>
    <row r="105" ht="15" customHeight="1" s="41">
      <c r="A105" s="57">
        <f>IF(Taxonomy!A105="","",Taxonomy!A105)</f>
        <v/>
      </c>
      <c r="B105" s="57">
        <f>IF(Taxonomy!E105="","",Taxonomy!E105)</f>
        <v/>
      </c>
      <c r="C105" s="58">
        <f>IF(Taxonomy!J105="","",Taxonomy!J105)</f>
        <v/>
      </c>
      <c r="D105" s="57">
        <f>IF(Taxonomy!S105="","",Taxonomy!S105)</f>
        <v/>
      </c>
      <c r="E105" s="59" t="n"/>
      <c r="F105" s="60" t="n"/>
      <c r="G105" s="60" t="n"/>
      <c r="H105" s="60" t="n"/>
      <c r="I105" s="60" t="n"/>
      <c r="J105" s="60" t="n"/>
      <c r="K105" s="61">
        <f>IF(OR(B105="",D105="Cut"),"",IF(COUNTA(F105:J105)&lt;5,"Answer all 5",IF(COUNTIF(F105:J105,"Y")&gt;0,"High","Low")))</f>
        <v/>
      </c>
      <c r="L105" s="60" t="n"/>
      <c r="M105" s="60" t="n"/>
      <c r="N105" s="60" t="n"/>
      <c r="O105" s="60" t="n"/>
      <c r="P105" s="61">
        <f>IF(OR(B105="",D105="Cut"),"",IF(COUNTA(L105:O105)&lt;4,"Answer all 4",IF(COUNTIF(L105:O105,"Y")&gt;0,"Hard","Easy")))</f>
        <v/>
      </c>
      <c r="Q105" s="60" t="n"/>
      <c r="R105" s="61">
        <f>IF(B105="","",IF(D105="Cut","Cut",IF(Q105="Y","Human",IF(OR(K105="Answer all 5",P105="Answer all 4"),"Score it",IF(K105="High",IF(P105="Hard","Human","Assist"),IF(P105="Hard","Agent","Automate"))))))</f>
        <v/>
      </c>
      <c r="S105" s="60" t="n"/>
      <c r="T105" s="59" t="n"/>
      <c r="U105" s="62" t="n"/>
      <c r="V105" s="57">
        <f>IF(B105="","",IF(R105="Cut","Stop doing this task.",IF(R105="Score it","Answer all nine questions.",IF(AND(R105="Human",Q105&lt;&gt;"Y"),"Confirm it stays Human, or redesign it so it is easier to check and score again.",IF(AND(R105="Agent",S105&lt;&gt;"Y"),"Write the agent job description before it goes live.",IF(T105="","Name an owner.",IF(U105="","Set a review date.","Ready.")))))))</f>
        <v/>
      </c>
    </row>
    <row r="106" ht="15" customHeight="1" s="41">
      <c r="A106" s="57">
        <f>IF(Taxonomy!A106="","",Taxonomy!A106)</f>
        <v/>
      </c>
      <c r="B106" s="57">
        <f>IF(Taxonomy!E106="","",Taxonomy!E106)</f>
        <v/>
      </c>
      <c r="C106" s="58">
        <f>IF(Taxonomy!J106="","",Taxonomy!J106)</f>
        <v/>
      </c>
      <c r="D106" s="57">
        <f>IF(Taxonomy!S106="","",Taxonomy!S106)</f>
        <v/>
      </c>
      <c r="E106" s="59" t="n"/>
      <c r="F106" s="60" t="n"/>
      <c r="G106" s="60" t="n"/>
      <c r="H106" s="60" t="n"/>
      <c r="I106" s="60" t="n"/>
      <c r="J106" s="60" t="n"/>
      <c r="K106" s="61">
        <f>IF(OR(B106="",D106="Cut"),"",IF(COUNTA(F106:J106)&lt;5,"Answer all 5",IF(COUNTIF(F106:J106,"Y")&gt;0,"High","Low")))</f>
        <v/>
      </c>
      <c r="L106" s="60" t="n"/>
      <c r="M106" s="60" t="n"/>
      <c r="N106" s="60" t="n"/>
      <c r="O106" s="60" t="n"/>
      <c r="P106" s="61">
        <f>IF(OR(B106="",D106="Cut"),"",IF(COUNTA(L106:O106)&lt;4,"Answer all 4",IF(COUNTIF(L106:O106,"Y")&gt;0,"Hard","Easy")))</f>
        <v/>
      </c>
      <c r="Q106" s="60" t="n"/>
      <c r="R106" s="61">
        <f>IF(B106="","",IF(D106="Cut","Cut",IF(Q106="Y","Human",IF(OR(K106="Answer all 5",P106="Answer all 4"),"Score it",IF(K106="High",IF(P106="Hard","Human","Assist"),IF(P106="Hard","Agent","Automate"))))))</f>
        <v/>
      </c>
      <c r="S106" s="60" t="n"/>
      <c r="T106" s="59" t="n"/>
      <c r="U106" s="62" t="n"/>
      <c r="V106" s="57">
        <f>IF(B106="","",IF(R106="Cut","Stop doing this task.",IF(R106="Score it","Answer all nine questions.",IF(AND(R106="Human",Q106&lt;&gt;"Y"),"Confirm it stays Human, or redesign it so it is easier to check and score again.",IF(AND(R106="Agent",S106&lt;&gt;"Y"),"Write the agent job description before it goes live.",IF(T106="","Name an owner.",IF(U106="","Set a review date.","Ready.")))))))</f>
        <v/>
      </c>
    </row>
    <row r="107" ht="15" customHeight="1" s="41">
      <c r="A107" s="57">
        <f>IF(Taxonomy!A107="","",Taxonomy!A107)</f>
        <v/>
      </c>
      <c r="B107" s="57">
        <f>IF(Taxonomy!E107="","",Taxonomy!E107)</f>
        <v/>
      </c>
      <c r="C107" s="58">
        <f>IF(Taxonomy!J107="","",Taxonomy!J107)</f>
        <v/>
      </c>
      <c r="D107" s="57">
        <f>IF(Taxonomy!S107="","",Taxonomy!S107)</f>
        <v/>
      </c>
      <c r="E107" s="59" t="n"/>
      <c r="F107" s="60" t="n"/>
      <c r="G107" s="60" t="n"/>
      <c r="H107" s="60" t="n"/>
      <c r="I107" s="60" t="n"/>
      <c r="J107" s="60" t="n"/>
      <c r="K107" s="61">
        <f>IF(OR(B107="",D107="Cut"),"",IF(COUNTA(F107:J107)&lt;5,"Answer all 5",IF(COUNTIF(F107:J107,"Y")&gt;0,"High","Low")))</f>
        <v/>
      </c>
      <c r="L107" s="60" t="n"/>
      <c r="M107" s="60" t="n"/>
      <c r="N107" s="60" t="n"/>
      <c r="O107" s="60" t="n"/>
      <c r="P107" s="61">
        <f>IF(OR(B107="",D107="Cut"),"",IF(COUNTA(L107:O107)&lt;4,"Answer all 4",IF(COUNTIF(L107:O107,"Y")&gt;0,"Hard","Easy")))</f>
        <v/>
      </c>
      <c r="Q107" s="60" t="n"/>
      <c r="R107" s="61">
        <f>IF(B107="","",IF(D107="Cut","Cut",IF(Q107="Y","Human",IF(OR(K107="Answer all 5",P107="Answer all 4"),"Score it",IF(K107="High",IF(P107="Hard","Human","Assist"),IF(P107="Hard","Agent","Automate"))))))</f>
        <v/>
      </c>
      <c r="S107" s="60" t="n"/>
      <c r="T107" s="59" t="n"/>
      <c r="U107" s="62" t="n"/>
      <c r="V107" s="57">
        <f>IF(B107="","",IF(R107="Cut","Stop doing this task.",IF(R107="Score it","Answer all nine questions.",IF(AND(R107="Human",Q107&lt;&gt;"Y"),"Confirm it stays Human, or redesign it so it is easier to check and score again.",IF(AND(R107="Agent",S107&lt;&gt;"Y"),"Write the agent job description before it goes live.",IF(T107="","Name an owner.",IF(U107="","Set a review date.","Ready.")))))))</f>
        <v/>
      </c>
    </row>
    <row r="108" ht="15" customHeight="1" s="41">
      <c r="A108" s="57">
        <f>IF(Taxonomy!A108="","",Taxonomy!A108)</f>
        <v/>
      </c>
      <c r="B108" s="57">
        <f>IF(Taxonomy!E108="","",Taxonomy!E108)</f>
        <v/>
      </c>
      <c r="C108" s="58">
        <f>IF(Taxonomy!J108="","",Taxonomy!J108)</f>
        <v/>
      </c>
      <c r="D108" s="57">
        <f>IF(Taxonomy!S108="","",Taxonomy!S108)</f>
        <v/>
      </c>
      <c r="E108" s="59" t="n"/>
      <c r="F108" s="60" t="n"/>
      <c r="G108" s="60" t="n"/>
      <c r="H108" s="60" t="n"/>
      <c r="I108" s="60" t="n"/>
      <c r="J108" s="60" t="n"/>
      <c r="K108" s="61">
        <f>IF(OR(B108="",D108="Cut"),"",IF(COUNTA(F108:J108)&lt;5,"Answer all 5",IF(COUNTIF(F108:J108,"Y")&gt;0,"High","Low")))</f>
        <v/>
      </c>
      <c r="L108" s="60" t="n"/>
      <c r="M108" s="60" t="n"/>
      <c r="N108" s="60" t="n"/>
      <c r="O108" s="60" t="n"/>
      <c r="P108" s="61">
        <f>IF(OR(B108="",D108="Cut"),"",IF(COUNTA(L108:O108)&lt;4,"Answer all 4",IF(COUNTIF(L108:O108,"Y")&gt;0,"Hard","Easy")))</f>
        <v/>
      </c>
      <c r="Q108" s="60" t="n"/>
      <c r="R108" s="61">
        <f>IF(B108="","",IF(D108="Cut","Cut",IF(Q108="Y","Human",IF(OR(K108="Answer all 5",P108="Answer all 4"),"Score it",IF(K108="High",IF(P108="Hard","Human","Assist"),IF(P108="Hard","Agent","Automate"))))))</f>
        <v/>
      </c>
      <c r="S108" s="60" t="n"/>
      <c r="T108" s="59" t="n"/>
      <c r="U108" s="62" t="n"/>
      <c r="V108" s="57">
        <f>IF(B108="","",IF(R108="Cut","Stop doing this task.",IF(R108="Score it","Answer all nine questions.",IF(AND(R108="Human",Q108&lt;&gt;"Y"),"Confirm it stays Human, or redesign it so it is easier to check and score again.",IF(AND(R108="Agent",S108&lt;&gt;"Y"),"Write the agent job description before it goes live.",IF(T108="","Name an owner.",IF(U108="","Set a review date.","Ready.")))))))</f>
        <v/>
      </c>
    </row>
    <row r="109" ht="15" customHeight="1" s="41">
      <c r="A109" s="57">
        <f>IF(Taxonomy!A109="","",Taxonomy!A109)</f>
        <v/>
      </c>
      <c r="B109" s="57">
        <f>IF(Taxonomy!E109="","",Taxonomy!E109)</f>
        <v/>
      </c>
      <c r="C109" s="58">
        <f>IF(Taxonomy!J109="","",Taxonomy!J109)</f>
        <v/>
      </c>
      <c r="D109" s="57">
        <f>IF(Taxonomy!S109="","",Taxonomy!S109)</f>
        <v/>
      </c>
      <c r="E109" s="59" t="n"/>
      <c r="F109" s="60" t="n"/>
      <c r="G109" s="60" t="n"/>
      <c r="H109" s="60" t="n"/>
      <c r="I109" s="60" t="n"/>
      <c r="J109" s="60" t="n"/>
      <c r="K109" s="61">
        <f>IF(OR(B109="",D109="Cut"),"",IF(COUNTA(F109:J109)&lt;5,"Answer all 5",IF(COUNTIF(F109:J109,"Y")&gt;0,"High","Low")))</f>
        <v/>
      </c>
      <c r="L109" s="60" t="n"/>
      <c r="M109" s="60" t="n"/>
      <c r="N109" s="60" t="n"/>
      <c r="O109" s="60" t="n"/>
      <c r="P109" s="61">
        <f>IF(OR(B109="",D109="Cut"),"",IF(COUNTA(L109:O109)&lt;4,"Answer all 4",IF(COUNTIF(L109:O109,"Y")&gt;0,"Hard","Easy")))</f>
        <v/>
      </c>
      <c r="Q109" s="60" t="n"/>
      <c r="R109" s="61">
        <f>IF(B109="","",IF(D109="Cut","Cut",IF(Q109="Y","Human",IF(OR(K109="Answer all 5",P109="Answer all 4"),"Score it",IF(K109="High",IF(P109="Hard","Human","Assist"),IF(P109="Hard","Agent","Automate"))))))</f>
        <v/>
      </c>
      <c r="S109" s="60" t="n"/>
      <c r="T109" s="59" t="n"/>
      <c r="U109" s="62" t="n"/>
      <c r="V109" s="57">
        <f>IF(B109="","",IF(R109="Cut","Stop doing this task.",IF(R109="Score it","Answer all nine questions.",IF(AND(R109="Human",Q109&lt;&gt;"Y"),"Confirm it stays Human, or redesign it so it is easier to check and score again.",IF(AND(R109="Agent",S109&lt;&gt;"Y"),"Write the agent job description before it goes live.",IF(T109="","Name an owner.",IF(U109="","Set a review date.","Ready.")))))))</f>
        <v/>
      </c>
    </row>
    <row r="110" ht="15" customHeight="1" s="41">
      <c r="A110" s="57">
        <f>IF(Taxonomy!A110="","",Taxonomy!A110)</f>
        <v/>
      </c>
      <c r="B110" s="57">
        <f>IF(Taxonomy!E110="","",Taxonomy!E110)</f>
        <v/>
      </c>
      <c r="C110" s="58">
        <f>IF(Taxonomy!J110="","",Taxonomy!J110)</f>
        <v/>
      </c>
      <c r="D110" s="57">
        <f>IF(Taxonomy!S110="","",Taxonomy!S110)</f>
        <v/>
      </c>
      <c r="E110" s="59" t="n"/>
      <c r="F110" s="60" t="n"/>
      <c r="G110" s="60" t="n"/>
      <c r="H110" s="60" t="n"/>
      <c r="I110" s="60" t="n"/>
      <c r="J110" s="60" t="n"/>
      <c r="K110" s="61">
        <f>IF(OR(B110="",D110="Cut"),"",IF(COUNTA(F110:J110)&lt;5,"Answer all 5",IF(COUNTIF(F110:J110,"Y")&gt;0,"High","Low")))</f>
        <v/>
      </c>
      <c r="L110" s="60" t="n"/>
      <c r="M110" s="60" t="n"/>
      <c r="N110" s="60" t="n"/>
      <c r="O110" s="60" t="n"/>
      <c r="P110" s="61">
        <f>IF(OR(B110="",D110="Cut"),"",IF(COUNTA(L110:O110)&lt;4,"Answer all 4",IF(COUNTIF(L110:O110,"Y")&gt;0,"Hard","Easy")))</f>
        <v/>
      </c>
      <c r="Q110" s="60" t="n"/>
      <c r="R110" s="61">
        <f>IF(B110="","",IF(D110="Cut","Cut",IF(Q110="Y","Human",IF(OR(K110="Answer all 5",P110="Answer all 4"),"Score it",IF(K110="High",IF(P110="Hard","Human","Assist"),IF(P110="Hard","Agent","Automate"))))))</f>
        <v/>
      </c>
      <c r="S110" s="60" t="n"/>
      <c r="T110" s="59" t="n"/>
      <c r="U110" s="62" t="n"/>
      <c r="V110" s="57">
        <f>IF(B110="","",IF(R110="Cut","Stop doing this task.",IF(R110="Score it","Answer all nine questions.",IF(AND(R110="Human",Q110&lt;&gt;"Y"),"Confirm it stays Human, or redesign it so it is easier to check and score again.",IF(AND(R110="Agent",S110&lt;&gt;"Y"),"Write the agent job description before it goes live.",IF(T110="","Name an owner.",IF(U110="","Set a review date.","Ready.")))))))</f>
        <v/>
      </c>
    </row>
    <row r="111" ht="15" customHeight="1" s="41">
      <c r="A111" s="57">
        <f>IF(Taxonomy!A111="","",Taxonomy!A111)</f>
        <v/>
      </c>
      <c r="B111" s="57">
        <f>IF(Taxonomy!E111="","",Taxonomy!E111)</f>
        <v/>
      </c>
      <c r="C111" s="58">
        <f>IF(Taxonomy!J111="","",Taxonomy!J111)</f>
        <v/>
      </c>
      <c r="D111" s="57">
        <f>IF(Taxonomy!S111="","",Taxonomy!S111)</f>
        <v/>
      </c>
      <c r="E111" s="59" t="n"/>
      <c r="F111" s="60" t="n"/>
      <c r="G111" s="60" t="n"/>
      <c r="H111" s="60" t="n"/>
      <c r="I111" s="60" t="n"/>
      <c r="J111" s="60" t="n"/>
      <c r="K111" s="61">
        <f>IF(OR(B111="",D111="Cut"),"",IF(COUNTA(F111:J111)&lt;5,"Answer all 5",IF(COUNTIF(F111:J111,"Y")&gt;0,"High","Low")))</f>
        <v/>
      </c>
      <c r="L111" s="60" t="n"/>
      <c r="M111" s="60" t="n"/>
      <c r="N111" s="60" t="n"/>
      <c r="O111" s="60" t="n"/>
      <c r="P111" s="61">
        <f>IF(OR(B111="",D111="Cut"),"",IF(COUNTA(L111:O111)&lt;4,"Answer all 4",IF(COUNTIF(L111:O111,"Y")&gt;0,"Hard","Easy")))</f>
        <v/>
      </c>
      <c r="Q111" s="60" t="n"/>
      <c r="R111" s="61">
        <f>IF(B111="","",IF(D111="Cut","Cut",IF(Q111="Y","Human",IF(OR(K111="Answer all 5",P111="Answer all 4"),"Score it",IF(K111="High",IF(P111="Hard","Human","Assist"),IF(P111="Hard","Agent","Automate"))))))</f>
        <v/>
      </c>
      <c r="S111" s="60" t="n"/>
      <c r="T111" s="59" t="n"/>
      <c r="U111" s="62" t="n"/>
      <c r="V111" s="57">
        <f>IF(B111="","",IF(R111="Cut","Stop doing this task.",IF(R111="Score it","Answer all nine questions.",IF(AND(R111="Human",Q111&lt;&gt;"Y"),"Confirm it stays Human, or redesign it so it is easier to check and score again.",IF(AND(R111="Agent",S111&lt;&gt;"Y"),"Write the agent job description before it goes live.",IF(T111="","Name an owner.",IF(U111="","Set a review date.","Ready.")))))))</f>
        <v/>
      </c>
    </row>
    <row r="112" ht="15" customHeight="1" s="41">
      <c r="A112" s="57">
        <f>IF(Taxonomy!A112="","",Taxonomy!A112)</f>
        <v/>
      </c>
      <c r="B112" s="57">
        <f>IF(Taxonomy!E112="","",Taxonomy!E112)</f>
        <v/>
      </c>
      <c r="C112" s="58">
        <f>IF(Taxonomy!J112="","",Taxonomy!J112)</f>
        <v/>
      </c>
      <c r="D112" s="57">
        <f>IF(Taxonomy!S112="","",Taxonomy!S112)</f>
        <v/>
      </c>
      <c r="E112" s="59" t="n"/>
      <c r="F112" s="60" t="n"/>
      <c r="G112" s="60" t="n"/>
      <c r="H112" s="60" t="n"/>
      <c r="I112" s="60" t="n"/>
      <c r="J112" s="60" t="n"/>
      <c r="K112" s="61">
        <f>IF(OR(B112="",D112="Cut"),"",IF(COUNTA(F112:J112)&lt;5,"Answer all 5",IF(COUNTIF(F112:J112,"Y")&gt;0,"High","Low")))</f>
        <v/>
      </c>
      <c r="L112" s="60" t="n"/>
      <c r="M112" s="60" t="n"/>
      <c r="N112" s="60" t="n"/>
      <c r="O112" s="60" t="n"/>
      <c r="P112" s="61">
        <f>IF(OR(B112="",D112="Cut"),"",IF(COUNTA(L112:O112)&lt;4,"Answer all 4",IF(COUNTIF(L112:O112,"Y")&gt;0,"Hard","Easy")))</f>
        <v/>
      </c>
      <c r="Q112" s="60" t="n"/>
      <c r="R112" s="61">
        <f>IF(B112="","",IF(D112="Cut","Cut",IF(Q112="Y","Human",IF(OR(K112="Answer all 5",P112="Answer all 4"),"Score it",IF(K112="High",IF(P112="Hard","Human","Assist"),IF(P112="Hard","Agent","Automate"))))))</f>
        <v/>
      </c>
      <c r="S112" s="60" t="n"/>
      <c r="T112" s="59" t="n"/>
      <c r="U112" s="62" t="n"/>
      <c r="V112" s="57">
        <f>IF(B112="","",IF(R112="Cut","Stop doing this task.",IF(R112="Score it","Answer all nine questions.",IF(AND(R112="Human",Q112&lt;&gt;"Y"),"Confirm it stays Human, or redesign it so it is easier to check and score again.",IF(AND(R112="Agent",S112&lt;&gt;"Y"),"Write the agent job description before it goes live.",IF(T112="","Name an owner.",IF(U112="","Set a review date.","Ready.")))))))</f>
        <v/>
      </c>
    </row>
    <row r="113" ht="15" customHeight="1" s="41">
      <c r="A113" s="57">
        <f>IF(Taxonomy!A113="","",Taxonomy!A113)</f>
        <v/>
      </c>
      <c r="B113" s="57">
        <f>IF(Taxonomy!E113="","",Taxonomy!E113)</f>
        <v/>
      </c>
      <c r="C113" s="58">
        <f>IF(Taxonomy!J113="","",Taxonomy!J113)</f>
        <v/>
      </c>
      <c r="D113" s="57">
        <f>IF(Taxonomy!S113="","",Taxonomy!S113)</f>
        <v/>
      </c>
      <c r="E113" s="59" t="n"/>
      <c r="F113" s="60" t="n"/>
      <c r="G113" s="60" t="n"/>
      <c r="H113" s="60" t="n"/>
      <c r="I113" s="60" t="n"/>
      <c r="J113" s="60" t="n"/>
      <c r="K113" s="61">
        <f>IF(OR(B113="",D113="Cut"),"",IF(COUNTA(F113:J113)&lt;5,"Answer all 5",IF(COUNTIF(F113:J113,"Y")&gt;0,"High","Low")))</f>
        <v/>
      </c>
      <c r="L113" s="60" t="n"/>
      <c r="M113" s="60" t="n"/>
      <c r="N113" s="60" t="n"/>
      <c r="O113" s="60" t="n"/>
      <c r="P113" s="61">
        <f>IF(OR(B113="",D113="Cut"),"",IF(COUNTA(L113:O113)&lt;4,"Answer all 4",IF(COUNTIF(L113:O113,"Y")&gt;0,"Hard","Easy")))</f>
        <v/>
      </c>
      <c r="Q113" s="60" t="n"/>
      <c r="R113" s="61">
        <f>IF(B113="","",IF(D113="Cut","Cut",IF(Q113="Y","Human",IF(OR(K113="Answer all 5",P113="Answer all 4"),"Score it",IF(K113="High",IF(P113="Hard","Human","Assist"),IF(P113="Hard","Agent","Automate"))))))</f>
        <v/>
      </c>
      <c r="S113" s="60" t="n"/>
      <c r="T113" s="59" t="n"/>
      <c r="U113" s="62" t="n"/>
      <c r="V113" s="57">
        <f>IF(B113="","",IF(R113="Cut","Stop doing this task.",IF(R113="Score it","Answer all nine questions.",IF(AND(R113="Human",Q113&lt;&gt;"Y"),"Confirm it stays Human, or redesign it so it is easier to check and score again.",IF(AND(R113="Agent",S113&lt;&gt;"Y"),"Write the agent job description before it goes live.",IF(T113="","Name an owner.",IF(U113="","Set a review date.","Ready.")))))))</f>
        <v/>
      </c>
    </row>
    <row r="114" ht="15" customHeight="1" s="41">
      <c r="A114" s="57">
        <f>IF(Taxonomy!A114="","",Taxonomy!A114)</f>
        <v/>
      </c>
      <c r="B114" s="57">
        <f>IF(Taxonomy!E114="","",Taxonomy!E114)</f>
        <v/>
      </c>
      <c r="C114" s="58">
        <f>IF(Taxonomy!J114="","",Taxonomy!J114)</f>
        <v/>
      </c>
      <c r="D114" s="57">
        <f>IF(Taxonomy!S114="","",Taxonomy!S114)</f>
        <v/>
      </c>
      <c r="E114" s="59" t="n"/>
      <c r="F114" s="60" t="n"/>
      <c r="G114" s="60" t="n"/>
      <c r="H114" s="60" t="n"/>
      <c r="I114" s="60" t="n"/>
      <c r="J114" s="60" t="n"/>
      <c r="K114" s="61">
        <f>IF(OR(B114="",D114="Cut"),"",IF(COUNTA(F114:J114)&lt;5,"Answer all 5",IF(COUNTIF(F114:J114,"Y")&gt;0,"High","Low")))</f>
        <v/>
      </c>
      <c r="L114" s="60" t="n"/>
      <c r="M114" s="60" t="n"/>
      <c r="N114" s="60" t="n"/>
      <c r="O114" s="60" t="n"/>
      <c r="P114" s="61">
        <f>IF(OR(B114="",D114="Cut"),"",IF(COUNTA(L114:O114)&lt;4,"Answer all 4",IF(COUNTIF(L114:O114,"Y")&gt;0,"Hard","Easy")))</f>
        <v/>
      </c>
      <c r="Q114" s="60" t="n"/>
      <c r="R114" s="61">
        <f>IF(B114="","",IF(D114="Cut","Cut",IF(Q114="Y","Human",IF(OR(K114="Answer all 5",P114="Answer all 4"),"Score it",IF(K114="High",IF(P114="Hard","Human","Assist"),IF(P114="Hard","Agent","Automate"))))))</f>
        <v/>
      </c>
      <c r="S114" s="60" t="n"/>
      <c r="T114" s="59" t="n"/>
      <c r="U114" s="62" t="n"/>
      <c r="V114" s="57">
        <f>IF(B114="","",IF(R114="Cut","Stop doing this task.",IF(R114="Score it","Answer all nine questions.",IF(AND(R114="Human",Q114&lt;&gt;"Y"),"Confirm it stays Human, or redesign it so it is easier to check and score again.",IF(AND(R114="Agent",S114&lt;&gt;"Y"),"Write the agent job description before it goes live.",IF(T114="","Name an owner.",IF(U114="","Set a review date.","Ready.")))))))</f>
        <v/>
      </c>
    </row>
    <row r="115" ht="15" customHeight="1" s="41">
      <c r="A115" s="57">
        <f>IF(Taxonomy!A115="","",Taxonomy!A115)</f>
        <v/>
      </c>
      <c r="B115" s="57">
        <f>IF(Taxonomy!E115="","",Taxonomy!E115)</f>
        <v/>
      </c>
      <c r="C115" s="58">
        <f>IF(Taxonomy!J115="","",Taxonomy!J115)</f>
        <v/>
      </c>
      <c r="D115" s="57">
        <f>IF(Taxonomy!S115="","",Taxonomy!S115)</f>
        <v/>
      </c>
      <c r="E115" s="59" t="n"/>
      <c r="F115" s="60" t="n"/>
      <c r="G115" s="60" t="n"/>
      <c r="H115" s="60" t="n"/>
      <c r="I115" s="60" t="n"/>
      <c r="J115" s="60" t="n"/>
      <c r="K115" s="61">
        <f>IF(OR(B115="",D115="Cut"),"",IF(COUNTA(F115:J115)&lt;5,"Answer all 5",IF(COUNTIF(F115:J115,"Y")&gt;0,"High","Low")))</f>
        <v/>
      </c>
      <c r="L115" s="60" t="n"/>
      <c r="M115" s="60" t="n"/>
      <c r="N115" s="60" t="n"/>
      <c r="O115" s="60" t="n"/>
      <c r="P115" s="61">
        <f>IF(OR(B115="",D115="Cut"),"",IF(COUNTA(L115:O115)&lt;4,"Answer all 4",IF(COUNTIF(L115:O115,"Y")&gt;0,"Hard","Easy")))</f>
        <v/>
      </c>
      <c r="Q115" s="60" t="n"/>
      <c r="R115" s="61">
        <f>IF(B115="","",IF(D115="Cut","Cut",IF(Q115="Y","Human",IF(OR(K115="Answer all 5",P115="Answer all 4"),"Score it",IF(K115="High",IF(P115="Hard","Human","Assist"),IF(P115="Hard","Agent","Automate"))))))</f>
        <v/>
      </c>
      <c r="S115" s="60" t="n"/>
      <c r="T115" s="59" t="n"/>
      <c r="U115" s="62" t="n"/>
      <c r="V115" s="57">
        <f>IF(B115="","",IF(R115="Cut","Stop doing this task.",IF(R115="Score it","Answer all nine questions.",IF(AND(R115="Human",Q115&lt;&gt;"Y"),"Confirm it stays Human, or redesign it so it is easier to check and score again.",IF(AND(R115="Agent",S115&lt;&gt;"Y"),"Write the agent job description before it goes live.",IF(T115="","Name an owner.",IF(U115="","Set a review date.","Ready.")))))))</f>
        <v/>
      </c>
    </row>
    <row r="116" ht="15" customHeight="1" s="41">
      <c r="A116" s="57">
        <f>IF(Taxonomy!A116="","",Taxonomy!A116)</f>
        <v/>
      </c>
      <c r="B116" s="57">
        <f>IF(Taxonomy!E116="","",Taxonomy!E116)</f>
        <v/>
      </c>
      <c r="C116" s="58">
        <f>IF(Taxonomy!J116="","",Taxonomy!J116)</f>
        <v/>
      </c>
      <c r="D116" s="57">
        <f>IF(Taxonomy!S116="","",Taxonomy!S116)</f>
        <v/>
      </c>
      <c r="E116" s="59" t="n"/>
      <c r="F116" s="60" t="n"/>
      <c r="G116" s="60" t="n"/>
      <c r="H116" s="60" t="n"/>
      <c r="I116" s="60" t="n"/>
      <c r="J116" s="60" t="n"/>
      <c r="K116" s="61">
        <f>IF(OR(B116="",D116="Cut"),"",IF(COUNTA(F116:J116)&lt;5,"Answer all 5",IF(COUNTIF(F116:J116,"Y")&gt;0,"High","Low")))</f>
        <v/>
      </c>
      <c r="L116" s="60" t="n"/>
      <c r="M116" s="60" t="n"/>
      <c r="N116" s="60" t="n"/>
      <c r="O116" s="60" t="n"/>
      <c r="P116" s="61">
        <f>IF(OR(B116="",D116="Cut"),"",IF(COUNTA(L116:O116)&lt;4,"Answer all 4",IF(COUNTIF(L116:O116,"Y")&gt;0,"Hard","Easy")))</f>
        <v/>
      </c>
      <c r="Q116" s="60" t="n"/>
      <c r="R116" s="61">
        <f>IF(B116="","",IF(D116="Cut","Cut",IF(Q116="Y","Human",IF(OR(K116="Answer all 5",P116="Answer all 4"),"Score it",IF(K116="High",IF(P116="Hard","Human","Assist"),IF(P116="Hard","Agent","Automate"))))))</f>
        <v/>
      </c>
      <c r="S116" s="60" t="n"/>
      <c r="T116" s="59" t="n"/>
      <c r="U116" s="62" t="n"/>
      <c r="V116" s="57">
        <f>IF(B116="","",IF(R116="Cut","Stop doing this task.",IF(R116="Score it","Answer all nine questions.",IF(AND(R116="Human",Q116&lt;&gt;"Y"),"Confirm it stays Human, or redesign it so it is easier to check and score again.",IF(AND(R116="Agent",S116&lt;&gt;"Y"),"Write the agent job description before it goes live.",IF(T116="","Name an owner.",IF(U116="","Set a review date.","Ready.")))))))</f>
        <v/>
      </c>
    </row>
    <row r="117" ht="15" customHeight="1" s="41">
      <c r="A117" s="57">
        <f>IF(Taxonomy!A117="","",Taxonomy!A117)</f>
        <v/>
      </c>
      <c r="B117" s="57">
        <f>IF(Taxonomy!E117="","",Taxonomy!E117)</f>
        <v/>
      </c>
      <c r="C117" s="58">
        <f>IF(Taxonomy!J117="","",Taxonomy!J117)</f>
        <v/>
      </c>
      <c r="D117" s="57">
        <f>IF(Taxonomy!S117="","",Taxonomy!S117)</f>
        <v/>
      </c>
      <c r="E117" s="59" t="n"/>
      <c r="F117" s="60" t="n"/>
      <c r="G117" s="60" t="n"/>
      <c r="H117" s="60" t="n"/>
      <c r="I117" s="60" t="n"/>
      <c r="J117" s="60" t="n"/>
      <c r="K117" s="61">
        <f>IF(OR(B117="",D117="Cut"),"",IF(COUNTA(F117:J117)&lt;5,"Answer all 5",IF(COUNTIF(F117:J117,"Y")&gt;0,"High","Low")))</f>
        <v/>
      </c>
      <c r="L117" s="60" t="n"/>
      <c r="M117" s="60" t="n"/>
      <c r="N117" s="60" t="n"/>
      <c r="O117" s="60" t="n"/>
      <c r="P117" s="61">
        <f>IF(OR(B117="",D117="Cut"),"",IF(COUNTA(L117:O117)&lt;4,"Answer all 4",IF(COUNTIF(L117:O117,"Y")&gt;0,"Hard","Easy")))</f>
        <v/>
      </c>
      <c r="Q117" s="60" t="n"/>
      <c r="R117" s="61">
        <f>IF(B117="","",IF(D117="Cut","Cut",IF(Q117="Y","Human",IF(OR(K117="Answer all 5",P117="Answer all 4"),"Score it",IF(K117="High",IF(P117="Hard","Human","Assist"),IF(P117="Hard","Agent","Automate"))))))</f>
        <v/>
      </c>
      <c r="S117" s="60" t="n"/>
      <c r="T117" s="59" t="n"/>
      <c r="U117" s="62" t="n"/>
      <c r="V117" s="57">
        <f>IF(B117="","",IF(R117="Cut","Stop doing this task.",IF(R117="Score it","Answer all nine questions.",IF(AND(R117="Human",Q117&lt;&gt;"Y"),"Confirm it stays Human, or redesign it so it is easier to check and score again.",IF(AND(R117="Agent",S117&lt;&gt;"Y"),"Write the agent job description before it goes live.",IF(T117="","Name an owner.",IF(U117="","Set a review date.","Ready.")))))))</f>
        <v/>
      </c>
    </row>
    <row r="118" ht="15" customHeight="1" s="41">
      <c r="A118" s="57">
        <f>IF(Taxonomy!A118="","",Taxonomy!A118)</f>
        <v/>
      </c>
      <c r="B118" s="57">
        <f>IF(Taxonomy!E118="","",Taxonomy!E118)</f>
        <v/>
      </c>
      <c r="C118" s="58">
        <f>IF(Taxonomy!J118="","",Taxonomy!J118)</f>
        <v/>
      </c>
      <c r="D118" s="57">
        <f>IF(Taxonomy!S118="","",Taxonomy!S118)</f>
        <v/>
      </c>
      <c r="E118" s="59" t="n"/>
      <c r="F118" s="60" t="n"/>
      <c r="G118" s="60" t="n"/>
      <c r="H118" s="60" t="n"/>
      <c r="I118" s="60" t="n"/>
      <c r="J118" s="60" t="n"/>
      <c r="K118" s="61">
        <f>IF(OR(B118="",D118="Cut"),"",IF(COUNTA(F118:J118)&lt;5,"Answer all 5",IF(COUNTIF(F118:J118,"Y")&gt;0,"High","Low")))</f>
        <v/>
      </c>
      <c r="L118" s="60" t="n"/>
      <c r="M118" s="60" t="n"/>
      <c r="N118" s="60" t="n"/>
      <c r="O118" s="60" t="n"/>
      <c r="P118" s="61">
        <f>IF(OR(B118="",D118="Cut"),"",IF(COUNTA(L118:O118)&lt;4,"Answer all 4",IF(COUNTIF(L118:O118,"Y")&gt;0,"Hard","Easy")))</f>
        <v/>
      </c>
      <c r="Q118" s="60" t="n"/>
      <c r="R118" s="61">
        <f>IF(B118="","",IF(D118="Cut","Cut",IF(Q118="Y","Human",IF(OR(K118="Answer all 5",P118="Answer all 4"),"Score it",IF(K118="High",IF(P118="Hard","Human","Assist"),IF(P118="Hard","Agent","Automate"))))))</f>
        <v/>
      </c>
      <c r="S118" s="60" t="n"/>
      <c r="T118" s="59" t="n"/>
      <c r="U118" s="62" t="n"/>
      <c r="V118" s="57">
        <f>IF(B118="","",IF(R118="Cut","Stop doing this task.",IF(R118="Score it","Answer all nine questions.",IF(AND(R118="Human",Q118&lt;&gt;"Y"),"Confirm it stays Human, or redesign it so it is easier to check and score again.",IF(AND(R118="Agent",S118&lt;&gt;"Y"),"Write the agent job description before it goes live.",IF(T118="","Name an owner.",IF(U118="","Set a review date.","Ready.")))))))</f>
        <v/>
      </c>
    </row>
    <row r="119" ht="15" customHeight="1" s="41">
      <c r="A119" s="57">
        <f>IF(Taxonomy!A119="","",Taxonomy!A119)</f>
        <v/>
      </c>
      <c r="B119" s="57">
        <f>IF(Taxonomy!E119="","",Taxonomy!E119)</f>
        <v/>
      </c>
      <c r="C119" s="58">
        <f>IF(Taxonomy!J119="","",Taxonomy!J119)</f>
        <v/>
      </c>
      <c r="D119" s="57">
        <f>IF(Taxonomy!S119="","",Taxonomy!S119)</f>
        <v/>
      </c>
      <c r="E119" s="59" t="n"/>
      <c r="F119" s="60" t="n"/>
      <c r="G119" s="60" t="n"/>
      <c r="H119" s="60" t="n"/>
      <c r="I119" s="60" t="n"/>
      <c r="J119" s="60" t="n"/>
      <c r="K119" s="61">
        <f>IF(OR(B119="",D119="Cut"),"",IF(COUNTA(F119:J119)&lt;5,"Answer all 5",IF(COUNTIF(F119:J119,"Y")&gt;0,"High","Low")))</f>
        <v/>
      </c>
      <c r="L119" s="60" t="n"/>
      <c r="M119" s="60" t="n"/>
      <c r="N119" s="60" t="n"/>
      <c r="O119" s="60" t="n"/>
      <c r="P119" s="61">
        <f>IF(OR(B119="",D119="Cut"),"",IF(COUNTA(L119:O119)&lt;4,"Answer all 4",IF(COUNTIF(L119:O119,"Y")&gt;0,"Hard","Easy")))</f>
        <v/>
      </c>
      <c r="Q119" s="60" t="n"/>
      <c r="R119" s="61">
        <f>IF(B119="","",IF(D119="Cut","Cut",IF(Q119="Y","Human",IF(OR(K119="Answer all 5",P119="Answer all 4"),"Score it",IF(K119="High",IF(P119="Hard","Human","Assist"),IF(P119="Hard","Agent","Automate"))))))</f>
        <v/>
      </c>
      <c r="S119" s="60" t="n"/>
      <c r="T119" s="59" t="n"/>
      <c r="U119" s="62" t="n"/>
      <c r="V119" s="57">
        <f>IF(B119="","",IF(R119="Cut","Stop doing this task.",IF(R119="Score it","Answer all nine questions.",IF(AND(R119="Human",Q119&lt;&gt;"Y"),"Confirm it stays Human, or redesign it so it is easier to check and score again.",IF(AND(R119="Agent",S119&lt;&gt;"Y"),"Write the agent job description before it goes live.",IF(T119="","Name an owner.",IF(U119="","Set a review date.","Ready.")))))))</f>
        <v/>
      </c>
    </row>
    <row r="120" ht="15" customHeight="1" s="41">
      <c r="A120" s="57">
        <f>IF(Taxonomy!A120="","",Taxonomy!A120)</f>
        <v/>
      </c>
      <c r="B120" s="57">
        <f>IF(Taxonomy!E120="","",Taxonomy!E120)</f>
        <v/>
      </c>
      <c r="C120" s="58">
        <f>IF(Taxonomy!J120="","",Taxonomy!J120)</f>
        <v/>
      </c>
      <c r="D120" s="57">
        <f>IF(Taxonomy!S120="","",Taxonomy!S120)</f>
        <v/>
      </c>
      <c r="E120" s="59" t="n"/>
      <c r="F120" s="60" t="n"/>
      <c r="G120" s="60" t="n"/>
      <c r="H120" s="60" t="n"/>
      <c r="I120" s="60" t="n"/>
      <c r="J120" s="60" t="n"/>
      <c r="K120" s="61">
        <f>IF(OR(B120="",D120="Cut"),"",IF(COUNTA(F120:J120)&lt;5,"Answer all 5",IF(COUNTIF(F120:J120,"Y")&gt;0,"High","Low")))</f>
        <v/>
      </c>
      <c r="L120" s="60" t="n"/>
      <c r="M120" s="60" t="n"/>
      <c r="N120" s="60" t="n"/>
      <c r="O120" s="60" t="n"/>
      <c r="P120" s="61">
        <f>IF(OR(B120="",D120="Cut"),"",IF(COUNTA(L120:O120)&lt;4,"Answer all 4",IF(COUNTIF(L120:O120,"Y")&gt;0,"Hard","Easy")))</f>
        <v/>
      </c>
      <c r="Q120" s="60" t="n"/>
      <c r="R120" s="61">
        <f>IF(B120="","",IF(D120="Cut","Cut",IF(Q120="Y","Human",IF(OR(K120="Answer all 5",P120="Answer all 4"),"Score it",IF(K120="High",IF(P120="Hard","Human","Assist"),IF(P120="Hard","Agent","Automate"))))))</f>
        <v/>
      </c>
      <c r="S120" s="60" t="n"/>
      <c r="T120" s="59" t="n"/>
      <c r="U120" s="62" t="n"/>
      <c r="V120" s="57">
        <f>IF(B120="","",IF(R120="Cut","Stop doing this task.",IF(R120="Score it","Answer all nine questions.",IF(AND(R120="Human",Q120&lt;&gt;"Y"),"Confirm it stays Human, or redesign it so it is easier to check and score again.",IF(AND(R120="Agent",S120&lt;&gt;"Y"),"Write the agent job description before it goes live.",IF(T120="","Name an owner.",IF(U120="","Set a review date.","Ready.")))))))</f>
        <v/>
      </c>
    </row>
    <row r="121" ht="15" customHeight="1" s="41">
      <c r="A121" s="57">
        <f>IF(Taxonomy!A121="","",Taxonomy!A121)</f>
        <v/>
      </c>
      <c r="B121" s="57">
        <f>IF(Taxonomy!E121="","",Taxonomy!E121)</f>
        <v/>
      </c>
      <c r="C121" s="58">
        <f>IF(Taxonomy!J121="","",Taxonomy!J121)</f>
        <v/>
      </c>
      <c r="D121" s="57">
        <f>IF(Taxonomy!S121="","",Taxonomy!S121)</f>
        <v/>
      </c>
      <c r="E121" s="59" t="n"/>
      <c r="F121" s="60" t="n"/>
      <c r="G121" s="60" t="n"/>
      <c r="H121" s="60" t="n"/>
      <c r="I121" s="60" t="n"/>
      <c r="J121" s="60" t="n"/>
      <c r="K121" s="61">
        <f>IF(OR(B121="",D121="Cut"),"",IF(COUNTA(F121:J121)&lt;5,"Answer all 5",IF(COUNTIF(F121:J121,"Y")&gt;0,"High","Low")))</f>
        <v/>
      </c>
      <c r="L121" s="60" t="n"/>
      <c r="M121" s="60" t="n"/>
      <c r="N121" s="60" t="n"/>
      <c r="O121" s="60" t="n"/>
      <c r="P121" s="61">
        <f>IF(OR(B121="",D121="Cut"),"",IF(COUNTA(L121:O121)&lt;4,"Answer all 4",IF(COUNTIF(L121:O121,"Y")&gt;0,"Hard","Easy")))</f>
        <v/>
      </c>
      <c r="Q121" s="60" t="n"/>
      <c r="R121" s="61">
        <f>IF(B121="","",IF(D121="Cut","Cut",IF(Q121="Y","Human",IF(OR(K121="Answer all 5",P121="Answer all 4"),"Score it",IF(K121="High",IF(P121="Hard","Human","Assist"),IF(P121="Hard","Agent","Automate"))))))</f>
        <v/>
      </c>
      <c r="S121" s="60" t="n"/>
      <c r="T121" s="59" t="n"/>
      <c r="U121" s="62" t="n"/>
      <c r="V121" s="57">
        <f>IF(B121="","",IF(R121="Cut","Stop doing this task.",IF(R121="Score it","Answer all nine questions.",IF(AND(R121="Human",Q121&lt;&gt;"Y"),"Confirm it stays Human, or redesign it so it is easier to check and score again.",IF(AND(R121="Agent",S121&lt;&gt;"Y"),"Write the agent job description before it goes live.",IF(T121="","Name an owner.",IF(U121="","Set a review date.","Ready.")))))))</f>
        <v/>
      </c>
    </row>
    <row r="122" ht="15" customHeight="1" s="41">
      <c r="A122" s="57">
        <f>IF(Taxonomy!A122="","",Taxonomy!A122)</f>
        <v/>
      </c>
      <c r="B122" s="57">
        <f>IF(Taxonomy!E122="","",Taxonomy!E122)</f>
        <v/>
      </c>
      <c r="C122" s="58">
        <f>IF(Taxonomy!J122="","",Taxonomy!J122)</f>
        <v/>
      </c>
      <c r="D122" s="57">
        <f>IF(Taxonomy!S122="","",Taxonomy!S122)</f>
        <v/>
      </c>
      <c r="E122" s="59" t="n"/>
      <c r="F122" s="60" t="n"/>
      <c r="G122" s="60" t="n"/>
      <c r="H122" s="60" t="n"/>
      <c r="I122" s="60" t="n"/>
      <c r="J122" s="60" t="n"/>
      <c r="K122" s="61">
        <f>IF(OR(B122="",D122="Cut"),"",IF(COUNTA(F122:J122)&lt;5,"Answer all 5",IF(COUNTIF(F122:J122,"Y")&gt;0,"High","Low")))</f>
        <v/>
      </c>
      <c r="L122" s="60" t="n"/>
      <c r="M122" s="60" t="n"/>
      <c r="N122" s="60" t="n"/>
      <c r="O122" s="60" t="n"/>
      <c r="P122" s="61">
        <f>IF(OR(B122="",D122="Cut"),"",IF(COUNTA(L122:O122)&lt;4,"Answer all 4",IF(COUNTIF(L122:O122,"Y")&gt;0,"Hard","Easy")))</f>
        <v/>
      </c>
      <c r="Q122" s="60" t="n"/>
      <c r="R122" s="61">
        <f>IF(B122="","",IF(D122="Cut","Cut",IF(Q122="Y","Human",IF(OR(K122="Answer all 5",P122="Answer all 4"),"Score it",IF(K122="High",IF(P122="Hard","Human","Assist"),IF(P122="Hard","Agent","Automate"))))))</f>
        <v/>
      </c>
      <c r="S122" s="60" t="n"/>
      <c r="T122" s="59" t="n"/>
      <c r="U122" s="62" t="n"/>
      <c r="V122" s="57">
        <f>IF(B122="","",IF(R122="Cut","Stop doing this task.",IF(R122="Score it","Answer all nine questions.",IF(AND(R122="Human",Q122&lt;&gt;"Y"),"Confirm it stays Human, or redesign it so it is easier to check and score again.",IF(AND(R122="Agent",S122&lt;&gt;"Y"),"Write the agent job description before it goes live.",IF(T122="","Name an owner.",IF(U122="","Set a review date.","Ready.")))))))</f>
        <v/>
      </c>
    </row>
    <row r="123" ht="15" customHeight="1" s="41">
      <c r="A123" s="57">
        <f>IF(Taxonomy!A123="","",Taxonomy!A123)</f>
        <v/>
      </c>
      <c r="B123" s="57">
        <f>IF(Taxonomy!E123="","",Taxonomy!E123)</f>
        <v/>
      </c>
      <c r="C123" s="58">
        <f>IF(Taxonomy!J123="","",Taxonomy!J123)</f>
        <v/>
      </c>
      <c r="D123" s="57">
        <f>IF(Taxonomy!S123="","",Taxonomy!S123)</f>
        <v/>
      </c>
      <c r="E123" s="59" t="n"/>
      <c r="F123" s="60" t="n"/>
      <c r="G123" s="60" t="n"/>
      <c r="H123" s="60" t="n"/>
      <c r="I123" s="60" t="n"/>
      <c r="J123" s="60" t="n"/>
      <c r="K123" s="61">
        <f>IF(OR(B123="",D123="Cut"),"",IF(COUNTA(F123:J123)&lt;5,"Answer all 5",IF(COUNTIF(F123:J123,"Y")&gt;0,"High","Low")))</f>
        <v/>
      </c>
      <c r="L123" s="60" t="n"/>
      <c r="M123" s="60" t="n"/>
      <c r="N123" s="60" t="n"/>
      <c r="O123" s="60" t="n"/>
      <c r="P123" s="61">
        <f>IF(OR(B123="",D123="Cut"),"",IF(COUNTA(L123:O123)&lt;4,"Answer all 4",IF(COUNTIF(L123:O123,"Y")&gt;0,"Hard","Easy")))</f>
        <v/>
      </c>
      <c r="Q123" s="60" t="n"/>
      <c r="R123" s="61">
        <f>IF(B123="","",IF(D123="Cut","Cut",IF(Q123="Y","Human",IF(OR(K123="Answer all 5",P123="Answer all 4"),"Score it",IF(K123="High",IF(P123="Hard","Human","Assist"),IF(P123="Hard","Agent","Automate"))))))</f>
        <v/>
      </c>
      <c r="S123" s="60" t="n"/>
      <c r="T123" s="59" t="n"/>
      <c r="U123" s="62" t="n"/>
      <c r="V123" s="57">
        <f>IF(B123="","",IF(R123="Cut","Stop doing this task.",IF(R123="Score it","Answer all nine questions.",IF(AND(R123="Human",Q123&lt;&gt;"Y"),"Confirm it stays Human, or redesign it so it is easier to check and score again.",IF(AND(R123="Agent",S123&lt;&gt;"Y"),"Write the agent job description before it goes live.",IF(T123="","Name an owner.",IF(U123="","Set a review date.","Ready.")))))))</f>
        <v/>
      </c>
    </row>
    <row r="124" ht="15" customHeight="1" s="41">
      <c r="A124" s="57">
        <f>IF(Taxonomy!A124="","",Taxonomy!A124)</f>
        <v/>
      </c>
      <c r="B124" s="57">
        <f>IF(Taxonomy!E124="","",Taxonomy!E124)</f>
        <v/>
      </c>
      <c r="C124" s="58">
        <f>IF(Taxonomy!J124="","",Taxonomy!J124)</f>
        <v/>
      </c>
      <c r="D124" s="57">
        <f>IF(Taxonomy!S124="","",Taxonomy!S124)</f>
        <v/>
      </c>
      <c r="E124" s="59" t="n"/>
      <c r="F124" s="60" t="n"/>
      <c r="G124" s="60" t="n"/>
      <c r="H124" s="60" t="n"/>
      <c r="I124" s="60" t="n"/>
      <c r="J124" s="60" t="n"/>
      <c r="K124" s="61">
        <f>IF(OR(B124="",D124="Cut"),"",IF(COUNTA(F124:J124)&lt;5,"Answer all 5",IF(COUNTIF(F124:J124,"Y")&gt;0,"High","Low")))</f>
        <v/>
      </c>
      <c r="L124" s="60" t="n"/>
      <c r="M124" s="60" t="n"/>
      <c r="N124" s="60" t="n"/>
      <c r="O124" s="60" t="n"/>
      <c r="P124" s="61">
        <f>IF(OR(B124="",D124="Cut"),"",IF(COUNTA(L124:O124)&lt;4,"Answer all 4",IF(COUNTIF(L124:O124,"Y")&gt;0,"Hard","Easy")))</f>
        <v/>
      </c>
      <c r="Q124" s="60" t="n"/>
      <c r="R124" s="61">
        <f>IF(B124="","",IF(D124="Cut","Cut",IF(Q124="Y","Human",IF(OR(K124="Answer all 5",P124="Answer all 4"),"Score it",IF(K124="High",IF(P124="Hard","Human","Assist"),IF(P124="Hard","Agent","Automate"))))))</f>
        <v/>
      </c>
      <c r="S124" s="60" t="n"/>
      <c r="T124" s="59" t="n"/>
      <c r="U124" s="62" t="n"/>
      <c r="V124" s="57">
        <f>IF(B124="","",IF(R124="Cut","Stop doing this task.",IF(R124="Score it","Answer all nine questions.",IF(AND(R124="Human",Q124&lt;&gt;"Y"),"Confirm it stays Human, or redesign it so it is easier to check and score again.",IF(AND(R124="Agent",S124&lt;&gt;"Y"),"Write the agent job description before it goes live.",IF(T124="","Name an owner.",IF(U124="","Set a review date.","Ready.")))))))</f>
        <v/>
      </c>
    </row>
    <row r="125" ht="15" customHeight="1" s="41">
      <c r="A125" s="57">
        <f>IF(Taxonomy!A125="","",Taxonomy!A125)</f>
        <v/>
      </c>
      <c r="B125" s="57">
        <f>IF(Taxonomy!E125="","",Taxonomy!E125)</f>
        <v/>
      </c>
      <c r="C125" s="58">
        <f>IF(Taxonomy!J125="","",Taxonomy!J125)</f>
        <v/>
      </c>
      <c r="D125" s="57">
        <f>IF(Taxonomy!S125="","",Taxonomy!S125)</f>
        <v/>
      </c>
      <c r="E125" s="59" t="n"/>
      <c r="F125" s="60" t="n"/>
      <c r="G125" s="60" t="n"/>
      <c r="H125" s="60" t="n"/>
      <c r="I125" s="60" t="n"/>
      <c r="J125" s="60" t="n"/>
      <c r="K125" s="61">
        <f>IF(OR(B125="",D125="Cut"),"",IF(COUNTA(F125:J125)&lt;5,"Answer all 5",IF(COUNTIF(F125:J125,"Y")&gt;0,"High","Low")))</f>
        <v/>
      </c>
      <c r="L125" s="60" t="n"/>
      <c r="M125" s="60" t="n"/>
      <c r="N125" s="60" t="n"/>
      <c r="O125" s="60" t="n"/>
      <c r="P125" s="61">
        <f>IF(OR(B125="",D125="Cut"),"",IF(COUNTA(L125:O125)&lt;4,"Answer all 4",IF(COUNTIF(L125:O125,"Y")&gt;0,"Hard","Easy")))</f>
        <v/>
      </c>
      <c r="Q125" s="60" t="n"/>
      <c r="R125" s="61">
        <f>IF(B125="","",IF(D125="Cut","Cut",IF(Q125="Y","Human",IF(OR(K125="Answer all 5",P125="Answer all 4"),"Score it",IF(K125="High",IF(P125="Hard","Human","Assist"),IF(P125="Hard","Agent","Automate"))))))</f>
        <v/>
      </c>
      <c r="S125" s="60" t="n"/>
      <c r="T125" s="59" t="n"/>
      <c r="U125" s="62" t="n"/>
      <c r="V125" s="57">
        <f>IF(B125="","",IF(R125="Cut","Stop doing this task.",IF(R125="Score it","Answer all nine questions.",IF(AND(R125="Human",Q125&lt;&gt;"Y"),"Confirm it stays Human, or redesign it so it is easier to check and score again.",IF(AND(R125="Agent",S125&lt;&gt;"Y"),"Write the agent job description before it goes live.",IF(T125="","Name an owner.",IF(U125="","Set a review date.","Ready.")))))))</f>
        <v/>
      </c>
    </row>
    <row r="126" ht="15" customHeight="1" s="41">
      <c r="A126" s="57">
        <f>IF(Taxonomy!A126="","",Taxonomy!A126)</f>
        <v/>
      </c>
      <c r="B126" s="57">
        <f>IF(Taxonomy!E126="","",Taxonomy!E126)</f>
        <v/>
      </c>
      <c r="C126" s="58">
        <f>IF(Taxonomy!J126="","",Taxonomy!J126)</f>
        <v/>
      </c>
      <c r="D126" s="57">
        <f>IF(Taxonomy!S126="","",Taxonomy!S126)</f>
        <v/>
      </c>
      <c r="E126" s="59" t="n"/>
      <c r="F126" s="60" t="n"/>
      <c r="G126" s="60" t="n"/>
      <c r="H126" s="60" t="n"/>
      <c r="I126" s="60" t="n"/>
      <c r="J126" s="60" t="n"/>
      <c r="K126" s="61">
        <f>IF(OR(B126="",D126="Cut"),"",IF(COUNTA(F126:J126)&lt;5,"Answer all 5",IF(COUNTIF(F126:J126,"Y")&gt;0,"High","Low")))</f>
        <v/>
      </c>
      <c r="L126" s="60" t="n"/>
      <c r="M126" s="60" t="n"/>
      <c r="N126" s="60" t="n"/>
      <c r="O126" s="60" t="n"/>
      <c r="P126" s="61">
        <f>IF(OR(B126="",D126="Cut"),"",IF(COUNTA(L126:O126)&lt;4,"Answer all 4",IF(COUNTIF(L126:O126,"Y")&gt;0,"Hard","Easy")))</f>
        <v/>
      </c>
      <c r="Q126" s="60" t="n"/>
      <c r="R126" s="61">
        <f>IF(B126="","",IF(D126="Cut","Cut",IF(Q126="Y","Human",IF(OR(K126="Answer all 5",P126="Answer all 4"),"Score it",IF(K126="High",IF(P126="Hard","Human","Assist"),IF(P126="Hard","Agent","Automate"))))))</f>
        <v/>
      </c>
      <c r="S126" s="60" t="n"/>
      <c r="T126" s="59" t="n"/>
      <c r="U126" s="62" t="n"/>
      <c r="V126" s="57">
        <f>IF(B126="","",IF(R126="Cut","Stop doing this task.",IF(R126="Score it","Answer all nine questions.",IF(AND(R126="Human",Q126&lt;&gt;"Y"),"Confirm it stays Human, or redesign it so it is easier to check and score again.",IF(AND(R126="Agent",S126&lt;&gt;"Y"),"Write the agent job description before it goes live.",IF(T126="","Name an owner.",IF(U126="","Set a review date.","Ready.")))))))</f>
        <v/>
      </c>
    </row>
    <row r="127" ht="15" customHeight="1" s="41">
      <c r="A127" s="57">
        <f>IF(Taxonomy!A127="","",Taxonomy!A127)</f>
        <v/>
      </c>
      <c r="B127" s="57">
        <f>IF(Taxonomy!E127="","",Taxonomy!E127)</f>
        <v/>
      </c>
      <c r="C127" s="58">
        <f>IF(Taxonomy!J127="","",Taxonomy!J127)</f>
        <v/>
      </c>
      <c r="D127" s="57">
        <f>IF(Taxonomy!S127="","",Taxonomy!S127)</f>
        <v/>
      </c>
      <c r="E127" s="59" t="n"/>
      <c r="F127" s="60" t="n"/>
      <c r="G127" s="60" t="n"/>
      <c r="H127" s="60" t="n"/>
      <c r="I127" s="60" t="n"/>
      <c r="J127" s="60" t="n"/>
      <c r="K127" s="61">
        <f>IF(OR(B127="",D127="Cut"),"",IF(COUNTA(F127:J127)&lt;5,"Answer all 5",IF(COUNTIF(F127:J127,"Y")&gt;0,"High","Low")))</f>
        <v/>
      </c>
      <c r="L127" s="60" t="n"/>
      <c r="M127" s="60" t="n"/>
      <c r="N127" s="60" t="n"/>
      <c r="O127" s="60" t="n"/>
      <c r="P127" s="61">
        <f>IF(OR(B127="",D127="Cut"),"",IF(COUNTA(L127:O127)&lt;4,"Answer all 4",IF(COUNTIF(L127:O127,"Y")&gt;0,"Hard","Easy")))</f>
        <v/>
      </c>
      <c r="Q127" s="60" t="n"/>
      <c r="R127" s="61">
        <f>IF(B127="","",IF(D127="Cut","Cut",IF(Q127="Y","Human",IF(OR(K127="Answer all 5",P127="Answer all 4"),"Score it",IF(K127="High",IF(P127="Hard","Human","Assist"),IF(P127="Hard","Agent","Automate"))))))</f>
        <v/>
      </c>
      <c r="S127" s="60" t="n"/>
      <c r="T127" s="59" t="n"/>
      <c r="U127" s="62" t="n"/>
      <c r="V127" s="57">
        <f>IF(B127="","",IF(R127="Cut","Stop doing this task.",IF(R127="Score it","Answer all nine questions.",IF(AND(R127="Human",Q127&lt;&gt;"Y"),"Confirm it stays Human, or redesign it so it is easier to check and score again.",IF(AND(R127="Agent",S127&lt;&gt;"Y"),"Write the agent job description before it goes live.",IF(T127="","Name an owner.",IF(U127="","Set a review date.","Ready.")))))))</f>
        <v/>
      </c>
    </row>
    <row r="128" ht="15" customHeight="1" s="41">
      <c r="A128" s="57">
        <f>IF(Taxonomy!A128="","",Taxonomy!A128)</f>
        <v/>
      </c>
      <c r="B128" s="57">
        <f>IF(Taxonomy!E128="","",Taxonomy!E128)</f>
        <v/>
      </c>
      <c r="C128" s="58">
        <f>IF(Taxonomy!J128="","",Taxonomy!J128)</f>
        <v/>
      </c>
      <c r="D128" s="57">
        <f>IF(Taxonomy!S128="","",Taxonomy!S128)</f>
        <v/>
      </c>
      <c r="E128" s="59" t="n"/>
      <c r="F128" s="60" t="n"/>
      <c r="G128" s="60" t="n"/>
      <c r="H128" s="60" t="n"/>
      <c r="I128" s="60" t="n"/>
      <c r="J128" s="60" t="n"/>
      <c r="K128" s="61">
        <f>IF(OR(B128="",D128="Cut"),"",IF(COUNTA(F128:J128)&lt;5,"Answer all 5",IF(COUNTIF(F128:J128,"Y")&gt;0,"High","Low")))</f>
        <v/>
      </c>
      <c r="L128" s="60" t="n"/>
      <c r="M128" s="60" t="n"/>
      <c r="N128" s="60" t="n"/>
      <c r="O128" s="60" t="n"/>
      <c r="P128" s="61">
        <f>IF(OR(B128="",D128="Cut"),"",IF(COUNTA(L128:O128)&lt;4,"Answer all 4",IF(COUNTIF(L128:O128,"Y")&gt;0,"Hard","Easy")))</f>
        <v/>
      </c>
      <c r="Q128" s="60" t="n"/>
      <c r="R128" s="61">
        <f>IF(B128="","",IF(D128="Cut","Cut",IF(Q128="Y","Human",IF(OR(K128="Answer all 5",P128="Answer all 4"),"Score it",IF(K128="High",IF(P128="Hard","Human","Assist"),IF(P128="Hard","Agent","Automate"))))))</f>
        <v/>
      </c>
      <c r="S128" s="60" t="n"/>
      <c r="T128" s="59" t="n"/>
      <c r="U128" s="62" t="n"/>
      <c r="V128" s="57">
        <f>IF(B128="","",IF(R128="Cut","Stop doing this task.",IF(R128="Score it","Answer all nine questions.",IF(AND(R128="Human",Q128&lt;&gt;"Y"),"Confirm it stays Human, or redesign it so it is easier to check and score again.",IF(AND(R128="Agent",S128&lt;&gt;"Y"),"Write the agent job description before it goes live.",IF(T128="","Name an owner.",IF(U128="","Set a review date.","Ready.")))))))</f>
        <v/>
      </c>
    </row>
    <row r="129" ht="15" customHeight="1" s="41">
      <c r="A129" s="57">
        <f>IF(Taxonomy!A129="","",Taxonomy!A129)</f>
        <v/>
      </c>
      <c r="B129" s="57">
        <f>IF(Taxonomy!E129="","",Taxonomy!E129)</f>
        <v/>
      </c>
      <c r="C129" s="58">
        <f>IF(Taxonomy!J129="","",Taxonomy!J129)</f>
        <v/>
      </c>
      <c r="D129" s="57">
        <f>IF(Taxonomy!S129="","",Taxonomy!S129)</f>
        <v/>
      </c>
      <c r="E129" s="59" t="n"/>
      <c r="F129" s="60" t="n"/>
      <c r="G129" s="60" t="n"/>
      <c r="H129" s="60" t="n"/>
      <c r="I129" s="60" t="n"/>
      <c r="J129" s="60" t="n"/>
      <c r="K129" s="61">
        <f>IF(OR(B129="",D129="Cut"),"",IF(COUNTA(F129:J129)&lt;5,"Answer all 5",IF(COUNTIF(F129:J129,"Y")&gt;0,"High","Low")))</f>
        <v/>
      </c>
      <c r="L129" s="60" t="n"/>
      <c r="M129" s="60" t="n"/>
      <c r="N129" s="60" t="n"/>
      <c r="O129" s="60" t="n"/>
      <c r="P129" s="61">
        <f>IF(OR(B129="",D129="Cut"),"",IF(COUNTA(L129:O129)&lt;4,"Answer all 4",IF(COUNTIF(L129:O129,"Y")&gt;0,"Hard","Easy")))</f>
        <v/>
      </c>
      <c r="Q129" s="60" t="n"/>
      <c r="R129" s="61">
        <f>IF(B129="","",IF(D129="Cut","Cut",IF(Q129="Y","Human",IF(OR(K129="Answer all 5",P129="Answer all 4"),"Score it",IF(K129="High",IF(P129="Hard","Human","Assist"),IF(P129="Hard","Agent","Automate"))))))</f>
        <v/>
      </c>
      <c r="S129" s="60" t="n"/>
      <c r="T129" s="59" t="n"/>
      <c r="U129" s="62" t="n"/>
      <c r="V129" s="57">
        <f>IF(B129="","",IF(R129="Cut","Stop doing this task.",IF(R129="Score it","Answer all nine questions.",IF(AND(R129="Human",Q129&lt;&gt;"Y"),"Confirm it stays Human, or redesign it so it is easier to check and score again.",IF(AND(R129="Agent",S129&lt;&gt;"Y"),"Write the agent job description before it goes live.",IF(T129="","Name an owner.",IF(U129="","Set a review date.","Ready.")))))))</f>
        <v/>
      </c>
    </row>
    <row r="130" ht="15" customHeight="1" s="41">
      <c r="A130" s="57">
        <f>IF(Taxonomy!A130="","",Taxonomy!A130)</f>
        <v/>
      </c>
      <c r="B130" s="57">
        <f>IF(Taxonomy!E130="","",Taxonomy!E130)</f>
        <v/>
      </c>
      <c r="C130" s="58">
        <f>IF(Taxonomy!J130="","",Taxonomy!J130)</f>
        <v/>
      </c>
      <c r="D130" s="57">
        <f>IF(Taxonomy!S130="","",Taxonomy!S130)</f>
        <v/>
      </c>
      <c r="E130" s="59" t="n"/>
      <c r="F130" s="60" t="n"/>
      <c r="G130" s="60" t="n"/>
      <c r="H130" s="60" t="n"/>
      <c r="I130" s="60" t="n"/>
      <c r="J130" s="60" t="n"/>
      <c r="K130" s="61">
        <f>IF(OR(B130="",D130="Cut"),"",IF(COUNTA(F130:J130)&lt;5,"Answer all 5",IF(COUNTIF(F130:J130,"Y")&gt;0,"High","Low")))</f>
        <v/>
      </c>
      <c r="L130" s="60" t="n"/>
      <c r="M130" s="60" t="n"/>
      <c r="N130" s="60" t="n"/>
      <c r="O130" s="60" t="n"/>
      <c r="P130" s="61">
        <f>IF(OR(B130="",D130="Cut"),"",IF(COUNTA(L130:O130)&lt;4,"Answer all 4",IF(COUNTIF(L130:O130,"Y")&gt;0,"Hard","Easy")))</f>
        <v/>
      </c>
      <c r="Q130" s="60" t="n"/>
      <c r="R130" s="61">
        <f>IF(B130="","",IF(D130="Cut","Cut",IF(Q130="Y","Human",IF(OR(K130="Answer all 5",P130="Answer all 4"),"Score it",IF(K130="High",IF(P130="Hard","Human","Assist"),IF(P130="Hard","Agent","Automate"))))))</f>
        <v/>
      </c>
      <c r="S130" s="60" t="n"/>
      <c r="T130" s="59" t="n"/>
      <c r="U130" s="62" t="n"/>
      <c r="V130" s="57">
        <f>IF(B130="","",IF(R130="Cut","Stop doing this task.",IF(R130="Score it","Answer all nine questions.",IF(AND(R130="Human",Q130&lt;&gt;"Y"),"Confirm it stays Human, or redesign it so it is easier to check and score again.",IF(AND(R130="Agent",S130&lt;&gt;"Y"),"Write the agent job description before it goes live.",IF(T130="","Name an owner.",IF(U130="","Set a review date.","Ready.")))))))</f>
        <v/>
      </c>
    </row>
    <row r="131" ht="15" customHeight="1" s="41">
      <c r="A131" s="57">
        <f>IF(Taxonomy!A131="","",Taxonomy!A131)</f>
        <v/>
      </c>
      <c r="B131" s="57">
        <f>IF(Taxonomy!E131="","",Taxonomy!E131)</f>
        <v/>
      </c>
      <c r="C131" s="58">
        <f>IF(Taxonomy!J131="","",Taxonomy!J131)</f>
        <v/>
      </c>
      <c r="D131" s="57">
        <f>IF(Taxonomy!S131="","",Taxonomy!S131)</f>
        <v/>
      </c>
      <c r="E131" s="59" t="n"/>
      <c r="F131" s="60" t="n"/>
      <c r="G131" s="60" t="n"/>
      <c r="H131" s="60" t="n"/>
      <c r="I131" s="60" t="n"/>
      <c r="J131" s="60" t="n"/>
      <c r="K131" s="61">
        <f>IF(OR(B131="",D131="Cut"),"",IF(COUNTA(F131:J131)&lt;5,"Answer all 5",IF(COUNTIF(F131:J131,"Y")&gt;0,"High","Low")))</f>
        <v/>
      </c>
      <c r="L131" s="60" t="n"/>
      <c r="M131" s="60" t="n"/>
      <c r="N131" s="60" t="n"/>
      <c r="O131" s="60" t="n"/>
      <c r="P131" s="61">
        <f>IF(OR(B131="",D131="Cut"),"",IF(COUNTA(L131:O131)&lt;4,"Answer all 4",IF(COUNTIF(L131:O131,"Y")&gt;0,"Hard","Easy")))</f>
        <v/>
      </c>
      <c r="Q131" s="60" t="n"/>
      <c r="R131" s="61">
        <f>IF(B131="","",IF(D131="Cut","Cut",IF(Q131="Y","Human",IF(OR(K131="Answer all 5",P131="Answer all 4"),"Score it",IF(K131="High",IF(P131="Hard","Human","Assist"),IF(P131="Hard","Agent","Automate"))))))</f>
        <v/>
      </c>
      <c r="S131" s="60" t="n"/>
      <c r="T131" s="59" t="n"/>
      <c r="U131" s="62" t="n"/>
      <c r="V131" s="57">
        <f>IF(B131="","",IF(R131="Cut","Stop doing this task.",IF(R131="Score it","Answer all nine questions.",IF(AND(R131="Human",Q131&lt;&gt;"Y"),"Confirm it stays Human, or redesign it so it is easier to check and score again.",IF(AND(R131="Agent",S131&lt;&gt;"Y"),"Write the agent job description before it goes live.",IF(T131="","Name an owner.",IF(U131="","Set a review date.","Ready.")))))))</f>
        <v/>
      </c>
    </row>
    <row r="132" ht="15" customHeight="1" s="41">
      <c r="A132" s="57">
        <f>IF(Taxonomy!A132="","",Taxonomy!A132)</f>
        <v/>
      </c>
      <c r="B132" s="57">
        <f>IF(Taxonomy!E132="","",Taxonomy!E132)</f>
        <v/>
      </c>
      <c r="C132" s="58">
        <f>IF(Taxonomy!J132="","",Taxonomy!J132)</f>
        <v/>
      </c>
      <c r="D132" s="57">
        <f>IF(Taxonomy!S132="","",Taxonomy!S132)</f>
        <v/>
      </c>
      <c r="E132" s="59" t="n"/>
      <c r="F132" s="60" t="n"/>
      <c r="G132" s="60" t="n"/>
      <c r="H132" s="60" t="n"/>
      <c r="I132" s="60" t="n"/>
      <c r="J132" s="60" t="n"/>
      <c r="K132" s="61">
        <f>IF(OR(B132="",D132="Cut"),"",IF(COUNTA(F132:J132)&lt;5,"Answer all 5",IF(COUNTIF(F132:J132,"Y")&gt;0,"High","Low")))</f>
        <v/>
      </c>
      <c r="L132" s="60" t="n"/>
      <c r="M132" s="60" t="n"/>
      <c r="N132" s="60" t="n"/>
      <c r="O132" s="60" t="n"/>
      <c r="P132" s="61">
        <f>IF(OR(B132="",D132="Cut"),"",IF(COUNTA(L132:O132)&lt;4,"Answer all 4",IF(COUNTIF(L132:O132,"Y")&gt;0,"Hard","Easy")))</f>
        <v/>
      </c>
      <c r="Q132" s="60" t="n"/>
      <c r="R132" s="61">
        <f>IF(B132="","",IF(D132="Cut","Cut",IF(Q132="Y","Human",IF(OR(K132="Answer all 5",P132="Answer all 4"),"Score it",IF(K132="High",IF(P132="Hard","Human","Assist"),IF(P132="Hard","Agent","Automate"))))))</f>
        <v/>
      </c>
      <c r="S132" s="60" t="n"/>
      <c r="T132" s="59" t="n"/>
      <c r="U132" s="62" t="n"/>
      <c r="V132" s="57">
        <f>IF(B132="","",IF(R132="Cut","Stop doing this task.",IF(R132="Score it","Answer all nine questions.",IF(AND(R132="Human",Q132&lt;&gt;"Y"),"Confirm it stays Human, or redesign it so it is easier to check and score again.",IF(AND(R132="Agent",S132&lt;&gt;"Y"),"Write the agent job description before it goes live.",IF(T132="","Name an owner.",IF(U132="","Set a review date.","Ready.")))))))</f>
        <v/>
      </c>
    </row>
    <row r="133" ht="15" customHeight="1" s="41">
      <c r="A133" s="57">
        <f>IF(Taxonomy!A133="","",Taxonomy!A133)</f>
        <v/>
      </c>
      <c r="B133" s="57">
        <f>IF(Taxonomy!E133="","",Taxonomy!E133)</f>
        <v/>
      </c>
      <c r="C133" s="58">
        <f>IF(Taxonomy!J133="","",Taxonomy!J133)</f>
        <v/>
      </c>
      <c r="D133" s="57">
        <f>IF(Taxonomy!S133="","",Taxonomy!S133)</f>
        <v/>
      </c>
      <c r="E133" s="59" t="n"/>
      <c r="F133" s="60" t="n"/>
      <c r="G133" s="60" t="n"/>
      <c r="H133" s="60" t="n"/>
      <c r="I133" s="60" t="n"/>
      <c r="J133" s="60" t="n"/>
      <c r="K133" s="61">
        <f>IF(OR(B133="",D133="Cut"),"",IF(COUNTA(F133:J133)&lt;5,"Answer all 5",IF(COUNTIF(F133:J133,"Y")&gt;0,"High","Low")))</f>
        <v/>
      </c>
      <c r="L133" s="60" t="n"/>
      <c r="M133" s="60" t="n"/>
      <c r="N133" s="60" t="n"/>
      <c r="O133" s="60" t="n"/>
      <c r="P133" s="61">
        <f>IF(OR(B133="",D133="Cut"),"",IF(COUNTA(L133:O133)&lt;4,"Answer all 4",IF(COUNTIF(L133:O133,"Y")&gt;0,"Hard","Easy")))</f>
        <v/>
      </c>
      <c r="Q133" s="60" t="n"/>
      <c r="R133" s="61">
        <f>IF(B133="","",IF(D133="Cut","Cut",IF(Q133="Y","Human",IF(OR(K133="Answer all 5",P133="Answer all 4"),"Score it",IF(K133="High",IF(P133="Hard","Human","Assist"),IF(P133="Hard","Agent","Automate"))))))</f>
        <v/>
      </c>
      <c r="S133" s="60" t="n"/>
      <c r="T133" s="59" t="n"/>
      <c r="U133" s="62" t="n"/>
      <c r="V133" s="57">
        <f>IF(B133="","",IF(R133="Cut","Stop doing this task.",IF(R133="Score it","Answer all nine questions.",IF(AND(R133="Human",Q133&lt;&gt;"Y"),"Confirm it stays Human, or redesign it so it is easier to check and score again.",IF(AND(R133="Agent",S133&lt;&gt;"Y"),"Write the agent job description before it goes live.",IF(T133="","Name an owner.",IF(U133="","Set a review date.","Ready.")))))))</f>
        <v/>
      </c>
    </row>
    <row r="134" ht="15" customHeight="1" s="41">
      <c r="A134" s="57">
        <f>IF(Taxonomy!A134="","",Taxonomy!A134)</f>
        <v/>
      </c>
      <c r="B134" s="57">
        <f>IF(Taxonomy!E134="","",Taxonomy!E134)</f>
        <v/>
      </c>
      <c r="C134" s="58">
        <f>IF(Taxonomy!J134="","",Taxonomy!J134)</f>
        <v/>
      </c>
      <c r="D134" s="57">
        <f>IF(Taxonomy!S134="","",Taxonomy!S134)</f>
        <v/>
      </c>
      <c r="E134" s="59" t="n"/>
      <c r="F134" s="60" t="n"/>
      <c r="G134" s="60" t="n"/>
      <c r="H134" s="60" t="n"/>
      <c r="I134" s="60" t="n"/>
      <c r="J134" s="60" t="n"/>
      <c r="K134" s="61">
        <f>IF(OR(B134="",D134="Cut"),"",IF(COUNTA(F134:J134)&lt;5,"Answer all 5",IF(COUNTIF(F134:J134,"Y")&gt;0,"High","Low")))</f>
        <v/>
      </c>
      <c r="L134" s="60" t="n"/>
      <c r="M134" s="60" t="n"/>
      <c r="N134" s="60" t="n"/>
      <c r="O134" s="60" t="n"/>
      <c r="P134" s="61">
        <f>IF(OR(B134="",D134="Cut"),"",IF(COUNTA(L134:O134)&lt;4,"Answer all 4",IF(COUNTIF(L134:O134,"Y")&gt;0,"Hard","Easy")))</f>
        <v/>
      </c>
      <c r="Q134" s="60" t="n"/>
      <c r="R134" s="61">
        <f>IF(B134="","",IF(D134="Cut","Cut",IF(Q134="Y","Human",IF(OR(K134="Answer all 5",P134="Answer all 4"),"Score it",IF(K134="High",IF(P134="Hard","Human","Assist"),IF(P134="Hard","Agent","Automate"))))))</f>
        <v/>
      </c>
      <c r="S134" s="60" t="n"/>
      <c r="T134" s="59" t="n"/>
      <c r="U134" s="62" t="n"/>
      <c r="V134" s="57">
        <f>IF(B134="","",IF(R134="Cut","Stop doing this task.",IF(R134="Score it","Answer all nine questions.",IF(AND(R134="Human",Q134&lt;&gt;"Y"),"Confirm it stays Human, or redesign it so it is easier to check and score again.",IF(AND(R134="Agent",S134&lt;&gt;"Y"),"Write the agent job description before it goes live.",IF(T134="","Name an owner.",IF(U134="","Set a review date.","Ready.")))))))</f>
        <v/>
      </c>
    </row>
    <row r="135" ht="15" customHeight="1" s="41">
      <c r="A135" s="57">
        <f>IF(Taxonomy!A135="","",Taxonomy!A135)</f>
        <v/>
      </c>
      <c r="B135" s="57">
        <f>IF(Taxonomy!E135="","",Taxonomy!E135)</f>
        <v/>
      </c>
      <c r="C135" s="58">
        <f>IF(Taxonomy!J135="","",Taxonomy!J135)</f>
        <v/>
      </c>
      <c r="D135" s="57">
        <f>IF(Taxonomy!S135="","",Taxonomy!S135)</f>
        <v/>
      </c>
      <c r="E135" s="59" t="n"/>
      <c r="F135" s="60" t="n"/>
      <c r="G135" s="60" t="n"/>
      <c r="H135" s="60" t="n"/>
      <c r="I135" s="60" t="n"/>
      <c r="J135" s="60" t="n"/>
      <c r="K135" s="61">
        <f>IF(OR(B135="",D135="Cut"),"",IF(COUNTA(F135:J135)&lt;5,"Answer all 5",IF(COUNTIF(F135:J135,"Y")&gt;0,"High","Low")))</f>
        <v/>
      </c>
      <c r="L135" s="60" t="n"/>
      <c r="M135" s="60" t="n"/>
      <c r="N135" s="60" t="n"/>
      <c r="O135" s="60" t="n"/>
      <c r="P135" s="61">
        <f>IF(OR(B135="",D135="Cut"),"",IF(COUNTA(L135:O135)&lt;4,"Answer all 4",IF(COUNTIF(L135:O135,"Y")&gt;0,"Hard","Easy")))</f>
        <v/>
      </c>
      <c r="Q135" s="60" t="n"/>
      <c r="R135" s="61">
        <f>IF(B135="","",IF(D135="Cut","Cut",IF(Q135="Y","Human",IF(OR(K135="Answer all 5",P135="Answer all 4"),"Score it",IF(K135="High",IF(P135="Hard","Human","Assist"),IF(P135="Hard","Agent","Automate"))))))</f>
        <v/>
      </c>
      <c r="S135" s="60" t="n"/>
      <c r="T135" s="59" t="n"/>
      <c r="U135" s="62" t="n"/>
      <c r="V135" s="57">
        <f>IF(B135="","",IF(R135="Cut","Stop doing this task.",IF(R135="Score it","Answer all nine questions.",IF(AND(R135="Human",Q135&lt;&gt;"Y"),"Confirm it stays Human, or redesign it so it is easier to check and score again.",IF(AND(R135="Agent",S135&lt;&gt;"Y"),"Write the agent job description before it goes live.",IF(T135="","Name an owner.",IF(U135="","Set a review date.","Ready.")))))))</f>
        <v/>
      </c>
    </row>
    <row r="136" ht="15" customHeight="1" s="41">
      <c r="A136" s="57">
        <f>IF(Taxonomy!A136="","",Taxonomy!A136)</f>
        <v/>
      </c>
      <c r="B136" s="57">
        <f>IF(Taxonomy!E136="","",Taxonomy!E136)</f>
        <v/>
      </c>
      <c r="C136" s="58">
        <f>IF(Taxonomy!J136="","",Taxonomy!J136)</f>
        <v/>
      </c>
      <c r="D136" s="57">
        <f>IF(Taxonomy!S136="","",Taxonomy!S136)</f>
        <v/>
      </c>
      <c r="E136" s="59" t="n"/>
      <c r="F136" s="60" t="n"/>
      <c r="G136" s="60" t="n"/>
      <c r="H136" s="60" t="n"/>
      <c r="I136" s="60" t="n"/>
      <c r="J136" s="60" t="n"/>
      <c r="K136" s="61">
        <f>IF(OR(B136="",D136="Cut"),"",IF(COUNTA(F136:J136)&lt;5,"Answer all 5",IF(COUNTIF(F136:J136,"Y")&gt;0,"High","Low")))</f>
        <v/>
      </c>
      <c r="L136" s="60" t="n"/>
      <c r="M136" s="60" t="n"/>
      <c r="N136" s="60" t="n"/>
      <c r="O136" s="60" t="n"/>
      <c r="P136" s="61">
        <f>IF(OR(B136="",D136="Cut"),"",IF(COUNTA(L136:O136)&lt;4,"Answer all 4",IF(COUNTIF(L136:O136,"Y")&gt;0,"Hard","Easy")))</f>
        <v/>
      </c>
      <c r="Q136" s="60" t="n"/>
      <c r="R136" s="61">
        <f>IF(B136="","",IF(D136="Cut","Cut",IF(Q136="Y","Human",IF(OR(K136="Answer all 5",P136="Answer all 4"),"Score it",IF(K136="High",IF(P136="Hard","Human","Assist"),IF(P136="Hard","Agent","Automate"))))))</f>
        <v/>
      </c>
      <c r="S136" s="60" t="n"/>
      <c r="T136" s="59" t="n"/>
      <c r="U136" s="62" t="n"/>
      <c r="V136" s="57">
        <f>IF(B136="","",IF(R136="Cut","Stop doing this task.",IF(R136="Score it","Answer all nine questions.",IF(AND(R136="Human",Q136&lt;&gt;"Y"),"Confirm it stays Human, or redesign it so it is easier to check and score again.",IF(AND(R136="Agent",S136&lt;&gt;"Y"),"Write the agent job description before it goes live.",IF(T136="","Name an owner.",IF(U136="","Set a review date.","Ready.")))))))</f>
        <v/>
      </c>
    </row>
    <row r="137" ht="15" customHeight="1" s="41">
      <c r="A137" s="57">
        <f>IF(Taxonomy!A137="","",Taxonomy!A137)</f>
        <v/>
      </c>
      <c r="B137" s="57">
        <f>IF(Taxonomy!E137="","",Taxonomy!E137)</f>
        <v/>
      </c>
      <c r="C137" s="58">
        <f>IF(Taxonomy!J137="","",Taxonomy!J137)</f>
        <v/>
      </c>
      <c r="D137" s="57">
        <f>IF(Taxonomy!S137="","",Taxonomy!S137)</f>
        <v/>
      </c>
      <c r="E137" s="59" t="n"/>
      <c r="F137" s="60" t="n"/>
      <c r="G137" s="60" t="n"/>
      <c r="H137" s="60" t="n"/>
      <c r="I137" s="60" t="n"/>
      <c r="J137" s="60" t="n"/>
      <c r="K137" s="61">
        <f>IF(OR(B137="",D137="Cut"),"",IF(COUNTA(F137:J137)&lt;5,"Answer all 5",IF(COUNTIF(F137:J137,"Y")&gt;0,"High","Low")))</f>
        <v/>
      </c>
      <c r="L137" s="60" t="n"/>
      <c r="M137" s="60" t="n"/>
      <c r="N137" s="60" t="n"/>
      <c r="O137" s="60" t="n"/>
      <c r="P137" s="61">
        <f>IF(OR(B137="",D137="Cut"),"",IF(COUNTA(L137:O137)&lt;4,"Answer all 4",IF(COUNTIF(L137:O137,"Y")&gt;0,"Hard","Easy")))</f>
        <v/>
      </c>
      <c r="Q137" s="60" t="n"/>
      <c r="R137" s="61">
        <f>IF(B137="","",IF(D137="Cut","Cut",IF(Q137="Y","Human",IF(OR(K137="Answer all 5",P137="Answer all 4"),"Score it",IF(K137="High",IF(P137="Hard","Human","Assist"),IF(P137="Hard","Agent","Automate"))))))</f>
        <v/>
      </c>
      <c r="S137" s="60" t="n"/>
      <c r="T137" s="59" t="n"/>
      <c r="U137" s="62" t="n"/>
      <c r="V137" s="57">
        <f>IF(B137="","",IF(R137="Cut","Stop doing this task.",IF(R137="Score it","Answer all nine questions.",IF(AND(R137="Human",Q137&lt;&gt;"Y"),"Confirm it stays Human, or redesign it so it is easier to check and score again.",IF(AND(R137="Agent",S137&lt;&gt;"Y"),"Write the agent job description before it goes live.",IF(T137="","Name an owner.",IF(U137="","Set a review date.","Ready.")))))))</f>
        <v/>
      </c>
    </row>
    <row r="138" ht="15" customHeight="1" s="41">
      <c r="A138" s="57">
        <f>IF(Taxonomy!A138="","",Taxonomy!A138)</f>
        <v/>
      </c>
      <c r="B138" s="57">
        <f>IF(Taxonomy!E138="","",Taxonomy!E138)</f>
        <v/>
      </c>
      <c r="C138" s="58">
        <f>IF(Taxonomy!J138="","",Taxonomy!J138)</f>
        <v/>
      </c>
      <c r="D138" s="57">
        <f>IF(Taxonomy!S138="","",Taxonomy!S138)</f>
        <v/>
      </c>
      <c r="E138" s="59" t="n"/>
      <c r="F138" s="60" t="n"/>
      <c r="G138" s="60" t="n"/>
      <c r="H138" s="60" t="n"/>
      <c r="I138" s="60" t="n"/>
      <c r="J138" s="60" t="n"/>
      <c r="K138" s="61">
        <f>IF(OR(B138="",D138="Cut"),"",IF(COUNTA(F138:J138)&lt;5,"Answer all 5",IF(COUNTIF(F138:J138,"Y")&gt;0,"High","Low")))</f>
        <v/>
      </c>
      <c r="L138" s="60" t="n"/>
      <c r="M138" s="60" t="n"/>
      <c r="N138" s="60" t="n"/>
      <c r="O138" s="60" t="n"/>
      <c r="P138" s="61">
        <f>IF(OR(B138="",D138="Cut"),"",IF(COUNTA(L138:O138)&lt;4,"Answer all 4",IF(COUNTIF(L138:O138,"Y")&gt;0,"Hard","Easy")))</f>
        <v/>
      </c>
      <c r="Q138" s="60" t="n"/>
      <c r="R138" s="61">
        <f>IF(B138="","",IF(D138="Cut","Cut",IF(Q138="Y","Human",IF(OR(K138="Answer all 5",P138="Answer all 4"),"Score it",IF(K138="High",IF(P138="Hard","Human","Assist"),IF(P138="Hard","Agent","Automate"))))))</f>
        <v/>
      </c>
      <c r="S138" s="60" t="n"/>
      <c r="T138" s="59" t="n"/>
      <c r="U138" s="62" t="n"/>
      <c r="V138" s="57">
        <f>IF(B138="","",IF(R138="Cut","Stop doing this task.",IF(R138="Score it","Answer all nine questions.",IF(AND(R138="Human",Q138&lt;&gt;"Y"),"Confirm it stays Human, or redesign it so it is easier to check and score again.",IF(AND(R138="Agent",S138&lt;&gt;"Y"),"Write the agent job description before it goes live.",IF(T138="","Name an owner.",IF(U138="","Set a review date.","Ready.")))))))</f>
        <v/>
      </c>
    </row>
    <row r="139" ht="15" customHeight="1" s="41">
      <c r="A139" s="57">
        <f>IF(Taxonomy!A139="","",Taxonomy!A139)</f>
        <v/>
      </c>
      <c r="B139" s="57">
        <f>IF(Taxonomy!E139="","",Taxonomy!E139)</f>
        <v/>
      </c>
      <c r="C139" s="58">
        <f>IF(Taxonomy!J139="","",Taxonomy!J139)</f>
        <v/>
      </c>
      <c r="D139" s="57">
        <f>IF(Taxonomy!S139="","",Taxonomy!S139)</f>
        <v/>
      </c>
      <c r="E139" s="59" t="n"/>
      <c r="F139" s="60" t="n"/>
      <c r="G139" s="60" t="n"/>
      <c r="H139" s="60" t="n"/>
      <c r="I139" s="60" t="n"/>
      <c r="J139" s="60" t="n"/>
      <c r="K139" s="61">
        <f>IF(OR(B139="",D139="Cut"),"",IF(COUNTA(F139:J139)&lt;5,"Answer all 5",IF(COUNTIF(F139:J139,"Y")&gt;0,"High","Low")))</f>
        <v/>
      </c>
      <c r="L139" s="60" t="n"/>
      <c r="M139" s="60" t="n"/>
      <c r="N139" s="60" t="n"/>
      <c r="O139" s="60" t="n"/>
      <c r="P139" s="61">
        <f>IF(OR(B139="",D139="Cut"),"",IF(COUNTA(L139:O139)&lt;4,"Answer all 4",IF(COUNTIF(L139:O139,"Y")&gt;0,"Hard","Easy")))</f>
        <v/>
      </c>
      <c r="Q139" s="60" t="n"/>
      <c r="R139" s="61">
        <f>IF(B139="","",IF(D139="Cut","Cut",IF(Q139="Y","Human",IF(OR(K139="Answer all 5",P139="Answer all 4"),"Score it",IF(K139="High",IF(P139="Hard","Human","Assist"),IF(P139="Hard","Agent","Automate"))))))</f>
        <v/>
      </c>
      <c r="S139" s="60" t="n"/>
      <c r="T139" s="59" t="n"/>
      <c r="U139" s="62" t="n"/>
      <c r="V139" s="57">
        <f>IF(B139="","",IF(R139="Cut","Stop doing this task.",IF(R139="Score it","Answer all nine questions.",IF(AND(R139="Human",Q139&lt;&gt;"Y"),"Confirm it stays Human, or redesign it so it is easier to check and score again.",IF(AND(R139="Agent",S139&lt;&gt;"Y"),"Write the agent job description before it goes live.",IF(T139="","Name an owner.",IF(U139="","Set a review date.","Ready.")))))))</f>
        <v/>
      </c>
    </row>
    <row r="140" ht="15" customHeight="1" s="41">
      <c r="A140" s="57">
        <f>IF(Taxonomy!A140="","",Taxonomy!A140)</f>
        <v/>
      </c>
      <c r="B140" s="57">
        <f>IF(Taxonomy!E140="","",Taxonomy!E140)</f>
        <v/>
      </c>
      <c r="C140" s="58">
        <f>IF(Taxonomy!J140="","",Taxonomy!J140)</f>
        <v/>
      </c>
      <c r="D140" s="57">
        <f>IF(Taxonomy!S140="","",Taxonomy!S140)</f>
        <v/>
      </c>
      <c r="E140" s="59" t="n"/>
      <c r="F140" s="60" t="n"/>
      <c r="G140" s="60" t="n"/>
      <c r="H140" s="60" t="n"/>
      <c r="I140" s="60" t="n"/>
      <c r="J140" s="60" t="n"/>
      <c r="K140" s="61">
        <f>IF(OR(B140="",D140="Cut"),"",IF(COUNTA(F140:J140)&lt;5,"Answer all 5",IF(COUNTIF(F140:J140,"Y")&gt;0,"High","Low")))</f>
        <v/>
      </c>
      <c r="L140" s="60" t="n"/>
      <c r="M140" s="60" t="n"/>
      <c r="N140" s="60" t="n"/>
      <c r="O140" s="60" t="n"/>
      <c r="P140" s="61">
        <f>IF(OR(B140="",D140="Cut"),"",IF(COUNTA(L140:O140)&lt;4,"Answer all 4",IF(COUNTIF(L140:O140,"Y")&gt;0,"Hard","Easy")))</f>
        <v/>
      </c>
      <c r="Q140" s="60" t="n"/>
      <c r="R140" s="61">
        <f>IF(B140="","",IF(D140="Cut","Cut",IF(Q140="Y","Human",IF(OR(K140="Answer all 5",P140="Answer all 4"),"Score it",IF(K140="High",IF(P140="Hard","Human","Assist"),IF(P140="Hard","Agent","Automate"))))))</f>
        <v/>
      </c>
      <c r="S140" s="60" t="n"/>
      <c r="T140" s="59" t="n"/>
      <c r="U140" s="62" t="n"/>
      <c r="V140" s="57">
        <f>IF(B140="","",IF(R140="Cut","Stop doing this task.",IF(R140="Score it","Answer all nine questions.",IF(AND(R140="Human",Q140&lt;&gt;"Y"),"Confirm it stays Human, or redesign it so it is easier to check and score again.",IF(AND(R140="Agent",S140&lt;&gt;"Y"),"Write the agent job description before it goes live.",IF(T140="","Name an owner.",IF(U140="","Set a review date.","Ready.")))))))</f>
        <v/>
      </c>
    </row>
    <row r="141" ht="15" customHeight="1" s="41">
      <c r="A141" s="57">
        <f>IF(Taxonomy!A141="","",Taxonomy!A141)</f>
        <v/>
      </c>
      <c r="B141" s="57">
        <f>IF(Taxonomy!E141="","",Taxonomy!E141)</f>
        <v/>
      </c>
      <c r="C141" s="58">
        <f>IF(Taxonomy!J141="","",Taxonomy!J141)</f>
        <v/>
      </c>
      <c r="D141" s="57">
        <f>IF(Taxonomy!S141="","",Taxonomy!S141)</f>
        <v/>
      </c>
      <c r="E141" s="59" t="n"/>
      <c r="F141" s="60" t="n"/>
      <c r="G141" s="60" t="n"/>
      <c r="H141" s="60" t="n"/>
      <c r="I141" s="60" t="n"/>
      <c r="J141" s="60" t="n"/>
      <c r="K141" s="61">
        <f>IF(OR(B141="",D141="Cut"),"",IF(COUNTA(F141:J141)&lt;5,"Answer all 5",IF(COUNTIF(F141:J141,"Y")&gt;0,"High","Low")))</f>
        <v/>
      </c>
      <c r="L141" s="60" t="n"/>
      <c r="M141" s="60" t="n"/>
      <c r="N141" s="60" t="n"/>
      <c r="O141" s="60" t="n"/>
      <c r="P141" s="61">
        <f>IF(OR(B141="",D141="Cut"),"",IF(COUNTA(L141:O141)&lt;4,"Answer all 4",IF(COUNTIF(L141:O141,"Y")&gt;0,"Hard","Easy")))</f>
        <v/>
      </c>
      <c r="Q141" s="60" t="n"/>
      <c r="R141" s="61">
        <f>IF(B141="","",IF(D141="Cut","Cut",IF(Q141="Y","Human",IF(OR(K141="Answer all 5",P141="Answer all 4"),"Score it",IF(K141="High",IF(P141="Hard","Human","Assist"),IF(P141="Hard","Agent","Automate"))))))</f>
        <v/>
      </c>
      <c r="S141" s="60" t="n"/>
      <c r="T141" s="59" t="n"/>
      <c r="U141" s="62" t="n"/>
      <c r="V141" s="57">
        <f>IF(B141="","",IF(R141="Cut","Stop doing this task.",IF(R141="Score it","Answer all nine questions.",IF(AND(R141="Human",Q141&lt;&gt;"Y"),"Confirm it stays Human, or redesign it so it is easier to check and score again.",IF(AND(R141="Agent",S141&lt;&gt;"Y"),"Write the agent job description before it goes live.",IF(T141="","Name an owner.",IF(U141="","Set a review date.","Ready.")))))))</f>
        <v/>
      </c>
    </row>
    <row r="142" ht="15" customHeight="1" s="41">
      <c r="A142" s="57">
        <f>IF(Taxonomy!A142="","",Taxonomy!A142)</f>
        <v/>
      </c>
      <c r="B142" s="57">
        <f>IF(Taxonomy!E142="","",Taxonomy!E142)</f>
        <v/>
      </c>
      <c r="C142" s="58">
        <f>IF(Taxonomy!J142="","",Taxonomy!J142)</f>
        <v/>
      </c>
      <c r="D142" s="57">
        <f>IF(Taxonomy!S142="","",Taxonomy!S142)</f>
        <v/>
      </c>
      <c r="E142" s="59" t="n"/>
      <c r="F142" s="60" t="n"/>
      <c r="G142" s="60" t="n"/>
      <c r="H142" s="60" t="n"/>
      <c r="I142" s="60" t="n"/>
      <c r="J142" s="60" t="n"/>
      <c r="K142" s="61">
        <f>IF(OR(B142="",D142="Cut"),"",IF(COUNTA(F142:J142)&lt;5,"Answer all 5",IF(COUNTIF(F142:J142,"Y")&gt;0,"High","Low")))</f>
        <v/>
      </c>
      <c r="L142" s="60" t="n"/>
      <c r="M142" s="60" t="n"/>
      <c r="N142" s="60" t="n"/>
      <c r="O142" s="60" t="n"/>
      <c r="P142" s="61">
        <f>IF(OR(B142="",D142="Cut"),"",IF(COUNTA(L142:O142)&lt;4,"Answer all 4",IF(COUNTIF(L142:O142,"Y")&gt;0,"Hard","Easy")))</f>
        <v/>
      </c>
      <c r="Q142" s="60" t="n"/>
      <c r="R142" s="61">
        <f>IF(B142="","",IF(D142="Cut","Cut",IF(Q142="Y","Human",IF(OR(K142="Answer all 5",P142="Answer all 4"),"Score it",IF(K142="High",IF(P142="Hard","Human","Assist"),IF(P142="Hard","Agent","Automate"))))))</f>
        <v/>
      </c>
      <c r="S142" s="60" t="n"/>
      <c r="T142" s="59" t="n"/>
      <c r="U142" s="62" t="n"/>
      <c r="V142" s="57">
        <f>IF(B142="","",IF(R142="Cut","Stop doing this task.",IF(R142="Score it","Answer all nine questions.",IF(AND(R142="Human",Q142&lt;&gt;"Y"),"Confirm it stays Human, or redesign it so it is easier to check and score again.",IF(AND(R142="Agent",S142&lt;&gt;"Y"),"Write the agent job description before it goes live.",IF(T142="","Name an owner.",IF(U142="","Set a review date.","Ready.")))))))</f>
        <v/>
      </c>
    </row>
    <row r="143" ht="15" customHeight="1" s="41">
      <c r="A143" s="57">
        <f>IF(Taxonomy!A143="","",Taxonomy!A143)</f>
        <v/>
      </c>
      <c r="B143" s="57">
        <f>IF(Taxonomy!E143="","",Taxonomy!E143)</f>
        <v/>
      </c>
      <c r="C143" s="58">
        <f>IF(Taxonomy!J143="","",Taxonomy!J143)</f>
        <v/>
      </c>
      <c r="D143" s="57">
        <f>IF(Taxonomy!S143="","",Taxonomy!S143)</f>
        <v/>
      </c>
      <c r="E143" s="59" t="n"/>
      <c r="F143" s="60" t="n"/>
      <c r="G143" s="60" t="n"/>
      <c r="H143" s="60" t="n"/>
      <c r="I143" s="60" t="n"/>
      <c r="J143" s="60" t="n"/>
      <c r="K143" s="61">
        <f>IF(OR(B143="",D143="Cut"),"",IF(COUNTA(F143:J143)&lt;5,"Answer all 5",IF(COUNTIF(F143:J143,"Y")&gt;0,"High","Low")))</f>
        <v/>
      </c>
      <c r="L143" s="60" t="n"/>
      <c r="M143" s="60" t="n"/>
      <c r="N143" s="60" t="n"/>
      <c r="O143" s="60" t="n"/>
      <c r="P143" s="61">
        <f>IF(OR(B143="",D143="Cut"),"",IF(COUNTA(L143:O143)&lt;4,"Answer all 4",IF(COUNTIF(L143:O143,"Y")&gt;0,"Hard","Easy")))</f>
        <v/>
      </c>
      <c r="Q143" s="60" t="n"/>
      <c r="R143" s="61">
        <f>IF(B143="","",IF(D143="Cut","Cut",IF(Q143="Y","Human",IF(OR(K143="Answer all 5",P143="Answer all 4"),"Score it",IF(K143="High",IF(P143="Hard","Human","Assist"),IF(P143="Hard","Agent","Automate"))))))</f>
        <v/>
      </c>
      <c r="S143" s="60" t="n"/>
      <c r="T143" s="59" t="n"/>
      <c r="U143" s="62" t="n"/>
      <c r="V143" s="57">
        <f>IF(B143="","",IF(R143="Cut","Stop doing this task.",IF(R143="Score it","Answer all nine questions.",IF(AND(R143="Human",Q143&lt;&gt;"Y"),"Confirm it stays Human, or redesign it so it is easier to check and score again.",IF(AND(R143="Agent",S143&lt;&gt;"Y"),"Write the agent job description before it goes live.",IF(T143="","Name an owner.",IF(U143="","Set a review date.","Ready.")))))))</f>
        <v/>
      </c>
    </row>
    <row r="144" ht="15" customHeight="1" s="41">
      <c r="A144" s="57">
        <f>IF(Taxonomy!A144="","",Taxonomy!A144)</f>
        <v/>
      </c>
      <c r="B144" s="57">
        <f>IF(Taxonomy!E144="","",Taxonomy!E144)</f>
        <v/>
      </c>
      <c r="C144" s="58">
        <f>IF(Taxonomy!J144="","",Taxonomy!J144)</f>
        <v/>
      </c>
      <c r="D144" s="57">
        <f>IF(Taxonomy!S144="","",Taxonomy!S144)</f>
        <v/>
      </c>
      <c r="E144" s="59" t="n"/>
      <c r="F144" s="60" t="n"/>
      <c r="G144" s="60" t="n"/>
      <c r="H144" s="60" t="n"/>
      <c r="I144" s="60" t="n"/>
      <c r="J144" s="60" t="n"/>
      <c r="K144" s="61">
        <f>IF(OR(B144="",D144="Cut"),"",IF(COUNTA(F144:J144)&lt;5,"Answer all 5",IF(COUNTIF(F144:J144,"Y")&gt;0,"High","Low")))</f>
        <v/>
      </c>
      <c r="L144" s="60" t="n"/>
      <c r="M144" s="60" t="n"/>
      <c r="N144" s="60" t="n"/>
      <c r="O144" s="60" t="n"/>
      <c r="P144" s="61">
        <f>IF(OR(B144="",D144="Cut"),"",IF(COUNTA(L144:O144)&lt;4,"Answer all 4",IF(COUNTIF(L144:O144,"Y")&gt;0,"Hard","Easy")))</f>
        <v/>
      </c>
      <c r="Q144" s="60" t="n"/>
      <c r="R144" s="61">
        <f>IF(B144="","",IF(D144="Cut","Cut",IF(Q144="Y","Human",IF(OR(K144="Answer all 5",P144="Answer all 4"),"Score it",IF(K144="High",IF(P144="Hard","Human","Assist"),IF(P144="Hard","Agent","Automate"))))))</f>
        <v/>
      </c>
      <c r="S144" s="60" t="n"/>
      <c r="T144" s="59" t="n"/>
      <c r="U144" s="62" t="n"/>
      <c r="V144" s="57">
        <f>IF(B144="","",IF(R144="Cut","Stop doing this task.",IF(R144="Score it","Answer all nine questions.",IF(AND(R144="Human",Q144&lt;&gt;"Y"),"Confirm it stays Human, or redesign it so it is easier to check and score again.",IF(AND(R144="Agent",S144&lt;&gt;"Y"),"Write the agent job description before it goes live.",IF(T144="","Name an owner.",IF(U144="","Set a review date.","Ready.")))))))</f>
        <v/>
      </c>
    </row>
    <row r="145" ht="15" customHeight="1" s="41">
      <c r="A145" s="57">
        <f>IF(Taxonomy!A145="","",Taxonomy!A145)</f>
        <v/>
      </c>
      <c r="B145" s="57">
        <f>IF(Taxonomy!E145="","",Taxonomy!E145)</f>
        <v/>
      </c>
      <c r="C145" s="58">
        <f>IF(Taxonomy!J145="","",Taxonomy!J145)</f>
        <v/>
      </c>
      <c r="D145" s="57">
        <f>IF(Taxonomy!S145="","",Taxonomy!S145)</f>
        <v/>
      </c>
      <c r="E145" s="59" t="n"/>
      <c r="F145" s="60" t="n"/>
      <c r="G145" s="60" t="n"/>
      <c r="H145" s="60" t="n"/>
      <c r="I145" s="60" t="n"/>
      <c r="J145" s="60" t="n"/>
      <c r="K145" s="61">
        <f>IF(OR(B145="",D145="Cut"),"",IF(COUNTA(F145:J145)&lt;5,"Answer all 5",IF(COUNTIF(F145:J145,"Y")&gt;0,"High","Low")))</f>
        <v/>
      </c>
      <c r="L145" s="60" t="n"/>
      <c r="M145" s="60" t="n"/>
      <c r="N145" s="60" t="n"/>
      <c r="O145" s="60" t="n"/>
      <c r="P145" s="61">
        <f>IF(OR(B145="",D145="Cut"),"",IF(COUNTA(L145:O145)&lt;4,"Answer all 4",IF(COUNTIF(L145:O145,"Y")&gt;0,"Hard","Easy")))</f>
        <v/>
      </c>
      <c r="Q145" s="60" t="n"/>
      <c r="R145" s="61">
        <f>IF(B145="","",IF(D145="Cut","Cut",IF(Q145="Y","Human",IF(OR(K145="Answer all 5",P145="Answer all 4"),"Score it",IF(K145="High",IF(P145="Hard","Human","Assist"),IF(P145="Hard","Agent","Automate"))))))</f>
        <v/>
      </c>
      <c r="S145" s="60" t="n"/>
      <c r="T145" s="59" t="n"/>
      <c r="U145" s="62" t="n"/>
      <c r="V145" s="57">
        <f>IF(B145="","",IF(R145="Cut","Stop doing this task.",IF(R145="Score it","Answer all nine questions.",IF(AND(R145="Human",Q145&lt;&gt;"Y"),"Confirm it stays Human, or redesign it so it is easier to check and score again.",IF(AND(R145="Agent",S145&lt;&gt;"Y"),"Write the agent job description before it goes live.",IF(T145="","Name an owner.",IF(U145="","Set a review date.","Ready.")))))))</f>
        <v/>
      </c>
    </row>
    <row r="146" ht="15" customHeight="1" s="41">
      <c r="A146" s="57">
        <f>IF(Taxonomy!A146="","",Taxonomy!A146)</f>
        <v/>
      </c>
      <c r="B146" s="57">
        <f>IF(Taxonomy!E146="","",Taxonomy!E146)</f>
        <v/>
      </c>
      <c r="C146" s="58">
        <f>IF(Taxonomy!J146="","",Taxonomy!J146)</f>
        <v/>
      </c>
      <c r="D146" s="57">
        <f>IF(Taxonomy!S146="","",Taxonomy!S146)</f>
        <v/>
      </c>
      <c r="E146" s="59" t="n"/>
      <c r="F146" s="60" t="n"/>
      <c r="G146" s="60" t="n"/>
      <c r="H146" s="60" t="n"/>
      <c r="I146" s="60" t="n"/>
      <c r="J146" s="60" t="n"/>
      <c r="K146" s="61">
        <f>IF(OR(B146="",D146="Cut"),"",IF(COUNTA(F146:J146)&lt;5,"Answer all 5",IF(COUNTIF(F146:J146,"Y")&gt;0,"High","Low")))</f>
        <v/>
      </c>
      <c r="L146" s="60" t="n"/>
      <c r="M146" s="60" t="n"/>
      <c r="N146" s="60" t="n"/>
      <c r="O146" s="60" t="n"/>
      <c r="P146" s="61">
        <f>IF(OR(B146="",D146="Cut"),"",IF(COUNTA(L146:O146)&lt;4,"Answer all 4",IF(COUNTIF(L146:O146,"Y")&gt;0,"Hard","Easy")))</f>
        <v/>
      </c>
      <c r="Q146" s="60" t="n"/>
      <c r="R146" s="61">
        <f>IF(B146="","",IF(D146="Cut","Cut",IF(Q146="Y","Human",IF(OR(K146="Answer all 5",P146="Answer all 4"),"Score it",IF(K146="High",IF(P146="Hard","Human","Assist"),IF(P146="Hard","Agent","Automate"))))))</f>
        <v/>
      </c>
      <c r="S146" s="60" t="n"/>
      <c r="T146" s="59" t="n"/>
      <c r="U146" s="62" t="n"/>
      <c r="V146" s="57">
        <f>IF(B146="","",IF(R146="Cut","Stop doing this task.",IF(R146="Score it","Answer all nine questions.",IF(AND(R146="Human",Q146&lt;&gt;"Y"),"Confirm it stays Human, or redesign it so it is easier to check and score again.",IF(AND(R146="Agent",S146&lt;&gt;"Y"),"Write the agent job description before it goes live.",IF(T146="","Name an owner.",IF(U146="","Set a review date.","Ready.")))))))</f>
        <v/>
      </c>
    </row>
    <row r="147" ht="15" customHeight="1" s="41">
      <c r="A147" s="57">
        <f>IF(Taxonomy!A147="","",Taxonomy!A147)</f>
        <v/>
      </c>
      <c r="B147" s="57">
        <f>IF(Taxonomy!E147="","",Taxonomy!E147)</f>
        <v/>
      </c>
      <c r="C147" s="58">
        <f>IF(Taxonomy!J147="","",Taxonomy!J147)</f>
        <v/>
      </c>
      <c r="D147" s="57">
        <f>IF(Taxonomy!S147="","",Taxonomy!S147)</f>
        <v/>
      </c>
      <c r="E147" s="59" t="n"/>
      <c r="F147" s="60" t="n"/>
      <c r="G147" s="60" t="n"/>
      <c r="H147" s="60" t="n"/>
      <c r="I147" s="60" t="n"/>
      <c r="J147" s="60" t="n"/>
      <c r="K147" s="61">
        <f>IF(OR(B147="",D147="Cut"),"",IF(COUNTA(F147:J147)&lt;5,"Answer all 5",IF(COUNTIF(F147:J147,"Y")&gt;0,"High","Low")))</f>
        <v/>
      </c>
      <c r="L147" s="60" t="n"/>
      <c r="M147" s="60" t="n"/>
      <c r="N147" s="60" t="n"/>
      <c r="O147" s="60" t="n"/>
      <c r="P147" s="61">
        <f>IF(OR(B147="",D147="Cut"),"",IF(COUNTA(L147:O147)&lt;4,"Answer all 4",IF(COUNTIF(L147:O147,"Y")&gt;0,"Hard","Easy")))</f>
        <v/>
      </c>
      <c r="Q147" s="60" t="n"/>
      <c r="R147" s="61">
        <f>IF(B147="","",IF(D147="Cut","Cut",IF(Q147="Y","Human",IF(OR(K147="Answer all 5",P147="Answer all 4"),"Score it",IF(K147="High",IF(P147="Hard","Human","Assist"),IF(P147="Hard","Agent","Automate"))))))</f>
        <v/>
      </c>
      <c r="S147" s="60" t="n"/>
      <c r="T147" s="59" t="n"/>
      <c r="U147" s="62" t="n"/>
      <c r="V147" s="57">
        <f>IF(B147="","",IF(R147="Cut","Stop doing this task.",IF(R147="Score it","Answer all nine questions.",IF(AND(R147="Human",Q147&lt;&gt;"Y"),"Confirm it stays Human, or redesign it so it is easier to check and score again.",IF(AND(R147="Agent",S147&lt;&gt;"Y"),"Write the agent job description before it goes live.",IF(T147="","Name an owner.",IF(U147="","Set a review date.","Ready.")))))))</f>
        <v/>
      </c>
    </row>
    <row r="148" ht="15" customHeight="1" s="41">
      <c r="A148" s="57">
        <f>IF(Taxonomy!A148="","",Taxonomy!A148)</f>
        <v/>
      </c>
      <c r="B148" s="57">
        <f>IF(Taxonomy!E148="","",Taxonomy!E148)</f>
        <v/>
      </c>
      <c r="C148" s="58">
        <f>IF(Taxonomy!J148="","",Taxonomy!J148)</f>
        <v/>
      </c>
      <c r="D148" s="57">
        <f>IF(Taxonomy!S148="","",Taxonomy!S148)</f>
        <v/>
      </c>
      <c r="E148" s="59" t="n"/>
      <c r="F148" s="60" t="n"/>
      <c r="G148" s="60" t="n"/>
      <c r="H148" s="60" t="n"/>
      <c r="I148" s="60" t="n"/>
      <c r="J148" s="60" t="n"/>
      <c r="K148" s="61">
        <f>IF(OR(B148="",D148="Cut"),"",IF(COUNTA(F148:J148)&lt;5,"Answer all 5",IF(COUNTIF(F148:J148,"Y")&gt;0,"High","Low")))</f>
        <v/>
      </c>
      <c r="L148" s="60" t="n"/>
      <c r="M148" s="60" t="n"/>
      <c r="N148" s="60" t="n"/>
      <c r="O148" s="60" t="n"/>
      <c r="P148" s="61">
        <f>IF(OR(B148="",D148="Cut"),"",IF(COUNTA(L148:O148)&lt;4,"Answer all 4",IF(COUNTIF(L148:O148,"Y")&gt;0,"Hard","Easy")))</f>
        <v/>
      </c>
      <c r="Q148" s="60" t="n"/>
      <c r="R148" s="61">
        <f>IF(B148="","",IF(D148="Cut","Cut",IF(Q148="Y","Human",IF(OR(K148="Answer all 5",P148="Answer all 4"),"Score it",IF(K148="High",IF(P148="Hard","Human","Assist"),IF(P148="Hard","Agent","Automate"))))))</f>
        <v/>
      </c>
      <c r="S148" s="60" t="n"/>
      <c r="T148" s="59" t="n"/>
      <c r="U148" s="62" t="n"/>
      <c r="V148" s="57">
        <f>IF(B148="","",IF(R148="Cut","Stop doing this task.",IF(R148="Score it","Answer all nine questions.",IF(AND(R148="Human",Q148&lt;&gt;"Y"),"Confirm it stays Human, or redesign it so it is easier to check and score again.",IF(AND(R148="Agent",S148&lt;&gt;"Y"),"Write the agent job description before it goes live.",IF(T148="","Name an owner.",IF(U148="","Set a review date.","Ready.")))))))</f>
        <v/>
      </c>
    </row>
    <row r="149" ht="15" customHeight="1" s="41">
      <c r="A149" s="57">
        <f>IF(Taxonomy!A149="","",Taxonomy!A149)</f>
        <v/>
      </c>
      <c r="B149" s="57">
        <f>IF(Taxonomy!E149="","",Taxonomy!E149)</f>
        <v/>
      </c>
      <c r="C149" s="58">
        <f>IF(Taxonomy!J149="","",Taxonomy!J149)</f>
        <v/>
      </c>
      <c r="D149" s="57">
        <f>IF(Taxonomy!S149="","",Taxonomy!S149)</f>
        <v/>
      </c>
      <c r="E149" s="59" t="n"/>
      <c r="F149" s="60" t="n"/>
      <c r="G149" s="60" t="n"/>
      <c r="H149" s="60" t="n"/>
      <c r="I149" s="60" t="n"/>
      <c r="J149" s="60" t="n"/>
      <c r="K149" s="61">
        <f>IF(OR(B149="",D149="Cut"),"",IF(COUNTA(F149:J149)&lt;5,"Answer all 5",IF(COUNTIF(F149:J149,"Y")&gt;0,"High","Low")))</f>
        <v/>
      </c>
      <c r="L149" s="60" t="n"/>
      <c r="M149" s="60" t="n"/>
      <c r="N149" s="60" t="n"/>
      <c r="O149" s="60" t="n"/>
      <c r="P149" s="61">
        <f>IF(OR(B149="",D149="Cut"),"",IF(COUNTA(L149:O149)&lt;4,"Answer all 4",IF(COUNTIF(L149:O149,"Y")&gt;0,"Hard","Easy")))</f>
        <v/>
      </c>
      <c r="Q149" s="60" t="n"/>
      <c r="R149" s="61">
        <f>IF(B149="","",IF(D149="Cut","Cut",IF(Q149="Y","Human",IF(OR(K149="Answer all 5",P149="Answer all 4"),"Score it",IF(K149="High",IF(P149="Hard","Human","Assist"),IF(P149="Hard","Agent","Automate"))))))</f>
        <v/>
      </c>
      <c r="S149" s="60" t="n"/>
      <c r="T149" s="59" t="n"/>
      <c r="U149" s="62" t="n"/>
      <c r="V149" s="57">
        <f>IF(B149="","",IF(R149="Cut","Stop doing this task.",IF(R149="Score it","Answer all nine questions.",IF(AND(R149="Human",Q149&lt;&gt;"Y"),"Confirm it stays Human, or redesign it so it is easier to check and score again.",IF(AND(R149="Agent",S149&lt;&gt;"Y"),"Write the agent job description before it goes live.",IF(T149="","Name an owner.",IF(U149="","Set a review date.","Ready.")))))))</f>
        <v/>
      </c>
    </row>
    <row r="150" ht="15" customHeight="1" s="41">
      <c r="A150" s="57">
        <f>IF(Taxonomy!A150="","",Taxonomy!A150)</f>
        <v/>
      </c>
      <c r="B150" s="57">
        <f>IF(Taxonomy!E150="","",Taxonomy!E150)</f>
        <v/>
      </c>
      <c r="C150" s="58">
        <f>IF(Taxonomy!J150="","",Taxonomy!J150)</f>
        <v/>
      </c>
      <c r="D150" s="57">
        <f>IF(Taxonomy!S150="","",Taxonomy!S150)</f>
        <v/>
      </c>
      <c r="E150" s="59" t="n"/>
      <c r="F150" s="60" t="n"/>
      <c r="G150" s="60" t="n"/>
      <c r="H150" s="60" t="n"/>
      <c r="I150" s="60" t="n"/>
      <c r="J150" s="60" t="n"/>
      <c r="K150" s="61">
        <f>IF(OR(B150="",D150="Cut"),"",IF(COUNTA(F150:J150)&lt;5,"Answer all 5",IF(COUNTIF(F150:J150,"Y")&gt;0,"High","Low")))</f>
        <v/>
      </c>
      <c r="L150" s="60" t="n"/>
      <c r="M150" s="60" t="n"/>
      <c r="N150" s="60" t="n"/>
      <c r="O150" s="60" t="n"/>
      <c r="P150" s="61">
        <f>IF(OR(B150="",D150="Cut"),"",IF(COUNTA(L150:O150)&lt;4,"Answer all 4",IF(COUNTIF(L150:O150,"Y")&gt;0,"Hard","Easy")))</f>
        <v/>
      </c>
      <c r="Q150" s="60" t="n"/>
      <c r="R150" s="61">
        <f>IF(B150="","",IF(D150="Cut","Cut",IF(Q150="Y","Human",IF(OR(K150="Answer all 5",P150="Answer all 4"),"Score it",IF(K150="High",IF(P150="Hard","Human","Assist"),IF(P150="Hard","Agent","Automate"))))))</f>
        <v/>
      </c>
      <c r="S150" s="60" t="n"/>
      <c r="T150" s="59" t="n"/>
      <c r="U150" s="62" t="n"/>
      <c r="V150" s="57">
        <f>IF(B150="","",IF(R150="Cut","Stop doing this task.",IF(R150="Score it","Answer all nine questions.",IF(AND(R150="Human",Q150&lt;&gt;"Y"),"Confirm it stays Human, or redesign it so it is easier to check and score again.",IF(AND(R150="Agent",S150&lt;&gt;"Y"),"Write the agent job description before it goes live.",IF(T150="","Name an owner.",IF(U150="","Set a review date.","Ready.")))))))</f>
        <v/>
      </c>
    </row>
    <row r="151" ht="15" customHeight="1" s="41">
      <c r="A151" s="57">
        <f>IF(Taxonomy!A151="","",Taxonomy!A151)</f>
        <v/>
      </c>
      <c r="B151" s="57">
        <f>IF(Taxonomy!E151="","",Taxonomy!E151)</f>
        <v/>
      </c>
      <c r="C151" s="58">
        <f>IF(Taxonomy!J151="","",Taxonomy!J151)</f>
        <v/>
      </c>
      <c r="D151" s="57">
        <f>IF(Taxonomy!S151="","",Taxonomy!S151)</f>
        <v/>
      </c>
      <c r="E151" s="59" t="n"/>
      <c r="F151" s="60" t="n"/>
      <c r="G151" s="60" t="n"/>
      <c r="H151" s="60" t="n"/>
      <c r="I151" s="60" t="n"/>
      <c r="J151" s="60" t="n"/>
      <c r="K151" s="61">
        <f>IF(OR(B151="",D151="Cut"),"",IF(COUNTA(F151:J151)&lt;5,"Answer all 5",IF(COUNTIF(F151:J151,"Y")&gt;0,"High","Low")))</f>
        <v/>
      </c>
      <c r="L151" s="60" t="n"/>
      <c r="M151" s="60" t="n"/>
      <c r="N151" s="60" t="n"/>
      <c r="O151" s="60" t="n"/>
      <c r="P151" s="61">
        <f>IF(OR(B151="",D151="Cut"),"",IF(COUNTA(L151:O151)&lt;4,"Answer all 4",IF(COUNTIF(L151:O151,"Y")&gt;0,"Hard","Easy")))</f>
        <v/>
      </c>
      <c r="Q151" s="60" t="n"/>
      <c r="R151" s="61">
        <f>IF(B151="","",IF(D151="Cut","Cut",IF(Q151="Y","Human",IF(OR(K151="Answer all 5",P151="Answer all 4"),"Score it",IF(K151="High",IF(P151="Hard","Human","Assist"),IF(P151="Hard","Agent","Automate"))))))</f>
        <v/>
      </c>
      <c r="S151" s="60" t="n"/>
      <c r="T151" s="59" t="n"/>
      <c r="U151" s="62" t="n"/>
      <c r="V151" s="57">
        <f>IF(B151="","",IF(R151="Cut","Stop doing this task.",IF(R151="Score it","Answer all nine questions.",IF(AND(R151="Human",Q151&lt;&gt;"Y"),"Confirm it stays Human, or redesign it so it is easier to check and score again.",IF(AND(R151="Agent",S151&lt;&gt;"Y"),"Write the agent job description before it goes live.",IF(T151="","Name an owner.",IF(U151="","Set a review date.","Ready.")))))))</f>
        <v/>
      </c>
    </row>
    <row r="152" ht="15" customHeight="1" s="41">
      <c r="A152" s="57">
        <f>IF(Taxonomy!A152="","",Taxonomy!A152)</f>
        <v/>
      </c>
      <c r="B152" s="57">
        <f>IF(Taxonomy!E152="","",Taxonomy!E152)</f>
        <v/>
      </c>
      <c r="C152" s="58">
        <f>IF(Taxonomy!J152="","",Taxonomy!J152)</f>
        <v/>
      </c>
      <c r="D152" s="57">
        <f>IF(Taxonomy!S152="","",Taxonomy!S152)</f>
        <v/>
      </c>
      <c r="E152" s="59" t="n"/>
      <c r="F152" s="60" t="n"/>
      <c r="G152" s="60" t="n"/>
      <c r="H152" s="60" t="n"/>
      <c r="I152" s="60" t="n"/>
      <c r="J152" s="60" t="n"/>
      <c r="K152" s="61">
        <f>IF(OR(B152="",D152="Cut"),"",IF(COUNTA(F152:J152)&lt;5,"Answer all 5",IF(COUNTIF(F152:J152,"Y")&gt;0,"High","Low")))</f>
        <v/>
      </c>
      <c r="L152" s="60" t="n"/>
      <c r="M152" s="60" t="n"/>
      <c r="N152" s="60" t="n"/>
      <c r="O152" s="60" t="n"/>
      <c r="P152" s="61">
        <f>IF(OR(B152="",D152="Cut"),"",IF(COUNTA(L152:O152)&lt;4,"Answer all 4",IF(COUNTIF(L152:O152,"Y")&gt;0,"Hard","Easy")))</f>
        <v/>
      </c>
      <c r="Q152" s="60" t="n"/>
      <c r="R152" s="61">
        <f>IF(B152="","",IF(D152="Cut","Cut",IF(Q152="Y","Human",IF(OR(K152="Answer all 5",P152="Answer all 4"),"Score it",IF(K152="High",IF(P152="Hard","Human","Assist"),IF(P152="Hard","Agent","Automate"))))))</f>
        <v/>
      </c>
      <c r="S152" s="60" t="n"/>
      <c r="T152" s="59" t="n"/>
      <c r="U152" s="62" t="n"/>
      <c r="V152" s="57">
        <f>IF(B152="","",IF(R152="Cut","Stop doing this task.",IF(R152="Score it","Answer all nine questions.",IF(AND(R152="Human",Q152&lt;&gt;"Y"),"Confirm it stays Human, or redesign it so it is easier to check and score again.",IF(AND(R152="Agent",S152&lt;&gt;"Y"),"Write the agent job description before it goes live.",IF(T152="","Name an owner.",IF(U152="","Set a review date.","Ready.")))))))</f>
        <v/>
      </c>
    </row>
    <row r="153" ht="15" customHeight="1" s="41">
      <c r="A153" s="57">
        <f>IF(Taxonomy!A153="","",Taxonomy!A153)</f>
        <v/>
      </c>
      <c r="B153" s="57">
        <f>IF(Taxonomy!E153="","",Taxonomy!E153)</f>
        <v/>
      </c>
      <c r="C153" s="58">
        <f>IF(Taxonomy!J153="","",Taxonomy!J153)</f>
        <v/>
      </c>
      <c r="D153" s="57">
        <f>IF(Taxonomy!S153="","",Taxonomy!S153)</f>
        <v/>
      </c>
      <c r="E153" s="59" t="n"/>
      <c r="F153" s="60" t="n"/>
      <c r="G153" s="60" t="n"/>
      <c r="H153" s="60" t="n"/>
      <c r="I153" s="60" t="n"/>
      <c r="J153" s="60" t="n"/>
      <c r="K153" s="61">
        <f>IF(OR(B153="",D153="Cut"),"",IF(COUNTA(F153:J153)&lt;5,"Answer all 5",IF(COUNTIF(F153:J153,"Y")&gt;0,"High","Low")))</f>
        <v/>
      </c>
      <c r="L153" s="60" t="n"/>
      <c r="M153" s="60" t="n"/>
      <c r="N153" s="60" t="n"/>
      <c r="O153" s="60" t="n"/>
      <c r="P153" s="61">
        <f>IF(OR(B153="",D153="Cut"),"",IF(COUNTA(L153:O153)&lt;4,"Answer all 4",IF(COUNTIF(L153:O153,"Y")&gt;0,"Hard","Easy")))</f>
        <v/>
      </c>
      <c r="Q153" s="60" t="n"/>
      <c r="R153" s="61">
        <f>IF(B153="","",IF(D153="Cut","Cut",IF(Q153="Y","Human",IF(OR(K153="Answer all 5",P153="Answer all 4"),"Score it",IF(K153="High",IF(P153="Hard","Human","Assist"),IF(P153="Hard","Agent","Automate"))))))</f>
        <v/>
      </c>
      <c r="S153" s="60" t="n"/>
      <c r="T153" s="59" t="n"/>
      <c r="U153" s="62" t="n"/>
      <c r="V153" s="57">
        <f>IF(B153="","",IF(R153="Cut","Stop doing this task.",IF(R153="Score it","Answer all nine questions.",IF(AND(R153="Human",Q153&lt;&gt;"Y"),"Confirm it stays Human, or redesign it so it is easier to check and score again.",IF(AND(R153="Agent",S153&lt;&gt;"Y"),"Write the agent job description before it goes live.",IF(T153="","Name an owner.",IF(U153="","Set a review date.","Ready.")))))))</f>
        <v/>
      </c>
    </row>
    <row r="154" ht="15" customHeight="1" s="41">
      <c r="A154" s="57">
        <f>IF(Taxonomy!A154="","",Taxonomy!A154)</f>
        <v/>
      </c>
      <c r="B154" s="57">
        <f>IF(Taxonomy!E154="","",Taxonomy!E154)</f>
        <v/>
      </c>
      <c r="C154" s="58">
        <f>IF(Taxonomy!J154="","",Taxonomy!J154)</f>
        <v/>
      </c>
      <c r="D154" s="57">
        <f>IF(Taxonomy!S154="","",Taxonomy!S154)</f>
        <v/>
      </c>
      <c r="E154" s="59" t="n"/>
      <c r="F154" s="60" t="n"/>
      <c r="G154" s="60" t="n"/>
      <c r="H154" s="60" t="n"/>
      <c r="I154" s="60" t="n"/>
      <c r="J154" s="60" t="n"/>
      <c r="K154" s="61">
        <f>IF(OR(B154="",D154="Cut"),"",IF(COUNTA(F154:J154)&lt;5,"Answer all 5",IF(COUNTIF(F154:J154,"Y")&gt;0,"High","Low")))</f>
        <v/>
      </c>
      <c r="L154" s="60" t="n"/>
      <c r="M154" s="60" t="n"/>
      <c r="N154" s="60" t="n"/>
      <c r="O154" s="60" t="n"/>
      <c r="P154" s="61">
        <f>IF(OR(B154="",D154="Cut"),"",IF(COUNTA(L154:O154)&lt;4,"Answer all 4",IF(COUNTIF(L154:O154,"Y")&gt;0,"Hard","Easy")))</f>
        <v/>
      </c>
      <c r="Q154" s="60" t="n"/>
      <c r="R154" s="61">
        <f>IF(B154="","",IF(D154="Cut","Cut",IF(Q154="Y","Human",IF(OR(K154="Answer all 5",P154="Answer all 4"),"Score it",IF(K154="High",IF(P154="Hard","Human","Assist"),IF(P154="Hard","Agent","Automate"))))))</f>
        <v/>
      </c>
      <c r="S154" s="60" t="n"/>
      <c r="T154" s="59" t="n"/>
      <c r="U154" s="62" t="n"/>
      <c r="V154" s="57">
        <f>IF(B154="","",IF(R154="Cut","Stop doing this task.",IF(R154="Score it","Answer all nine questions.",IF(AND(R154="Human",Q154&lt;&gt;"Y"),"Confirm it stays Human, or redesign it so it is easier to check and score again.",IF(AND(R154="Agent",S154&lt;&gt;"Y"),"Write the agent job description before it goes live.",IF(T154="","Name an owner.",IF(U154="","Set a review date.","Ready.")))))))</f>
        <v/>
      </c>
    </row>
    <row r="155" ht="15" customHeight="1" s="41">
      <c r="A155" s="57">
        <f>IF(Taxonomy!A155="","",Taxonomy!A155)</f>
        <v/>
      </c>
      <c r="B155" s="57">
        <f>IF(Taxonomy!E155="","",Taxonomy!E155)</f>
        <v/>
      </c>
      <c r="C155" s="58">
        <f>IF(Taxonomy!J155="","",Taxonomy!J155)</f>
        <v/>
      </c>
      <c r="D155" s="57">
        <f>IF(Taxonomy!S155="","",Taxonomy!S155)</f>
        <v/>
      </c>
      <c r="E155" s="59" t="n"/>
      <c r="F155" s="60" t="n"/>
      <c r="G155" s="60" t="n"/>
      <c r="H155" s="60" t="n"/>
      <c r="I155" s="60" t="n"/>
      <c r="J155" s="60" t="n"/>
      <c r="K155" s="61">
        <f>IF(OR(B155="",D155="Cut"),"",IF(COUNTA(F155:J155)&lt;5,"Answer all 5",IF(COUNTIF(F155:J155,"Y")&gt;0,"High","Low")))</f>
        <v/>
      </c>
      <c r="L155" s="60" t="n"/>
      <c r="M155" s="60" t="n"/>
      <c r="N155" s="60" t="n"/>
      <c r="O155" s="60" t="n"/>
      <c r="P155" s="61">
        <f>IF(OR(B155="",D155="Cut"),"",IF(COUNTA(L155:O155)&lt;4,"Answer all 4",IF(COUNTIF(L155:O155,"Y")&gt;0,"Hard","Easy")))</f>
        <v/>
      </c>
      <c r="Q155" s="60" t="n"/>
      <c r="R155" s="61">
        <f>IF(B155="","",IF(D155="Cut","Cut",IF(Q155="Y","Human",IF(OR(K155="Answer all 5",P155="Answer all 4"),"Score it",IF(K155="High",IF(P155="Hard","Human","Assist"),IF(P155="Hard","Agent","Automate"))))))</f>
        <v/>
      </c>
      <c r="S155" s="60" t="n"/>
      <c r="T155" s="59" t="n"/>
      <c r="U155" s="62" t="n"/>
      <c r="V155" s="57">
        <f>IF(B155="","",IF(R155="Cut","Stop doing this task.",IF(R155="Score it","Answer all nine questions.",IF(AND(R155="Human",Q155&lt;&gt;"Y"),"Confirm it stays Human, or redesign it so it is easier to check and score again.",IF(AND(R155="Agent",S155&lt;&gt;"Y"),"Write the agent job description before it goes live.",IF(T155="","Name an owner.",IF(U155="","Set a review date.","Ready.")))))))</f>
        <v/>
      </c>
    </row>
    <row r="156" ht="15" customHeight="1" s="41">
      <c r="A156" s="57">
        <f>IF(Taxonomy!A156="","",Taxonomy!A156)</f>
        <v/>
      </c>
      <c r="B156" s="57">
        <f>IF(Taxonomy!E156="","",Taxonomy!E156)</f>
        <v/>
      </c>
      <c r="C156" s="58">
        <f>IF(Taxonomy!J156="","",Taxonomy!J156)</f>
        <v/>
      </c>
      <c r="D156" s="57">
        <f>IF(Taxonomy!S156="","",Taxonomy!S156)</f>
        <v/>
      </c>
      <c r="E156" s="59" t="n"/>
      <c r="F156" s="60" t="n"/>
      <c r="G156" s="60" t="n"/>
      <c r="H156" s="60" t="n"/>
      <c r="I156" s="60" t="n"/>
      <c r="J156" s="60" t="n"/>
      <c r="K156" s="61">
        <f>IF(OR(B156="",D156="Cut"),"",IF(COUNTA(F156:J156)&lt;5,"Answer all 5",IF(COUNTIF(F156:J156,"Y")&gt;0,"High","Low")))</f>
        <v/>
      </c>
      <c r="L156" s="60" t="n"/>
      <c r="M156" s="60" t="n"/>
      <c r="N156" s="60" t="n"/>
      <c r="O156" s="60" t="n"/>
      <c r="P156" s="61">
        <f>IF(OR(B156="",D156="Cut"),"",IF(COUNTA(L156:O156)&lt;4,"Answer all 4",IF(COUNTIF(L156:O156,"Y")&gt;0,"Hard","Easy")))</f>
        <v/>
      </c>
      <c r="Q156" s="60" t="n"/>
      <c r="R156" s="61">
        <f>IF(B156="","",IF(D156="Cut","Cut",IF(Q156="Y","Human",IF(OR(K156="Answer all 5",P156="Answer all 4"),"Score it",IF(K156="High",IF(P156="Hard","Human","Assist"),IF(P156="Hard","Agent","Automate"))))))</f>
        <v/>
      </c>
      <c r="S156" s="60" t="n"/>
      <c r="T156" s="59" t="n"/>
      <c r="U156" s="62" t="n"/>
      <c r="V156" s="57">
        <f>IF(B156="","",IF(R156="Cut","Stop doing this task.",IF(R156="Score it","Answer all nine questions.",IF(AND(R156="Human",Q156&lt;&gt;"Y"),"Confirm it stays Human, or redesign it so it is easier to check and score again.",IF(AND(R156="Agent",S156&lt;&gt;"Y"),"Write the agent job description before it goes live.",IF(T156="","Name an owner.",IF(U156="","Set a review date.","Ready.")))))))</f>
        <v/>
      </c>
    </row>
    <row r="157" ht="15" customHeight="1" s="41">
      <c r="A157" s="57">
        <f>IF(Taxonomy!A157="","",Taxonomy!A157)</f>
        <v/>
      </c>
      <c r="B157" s="57">
        <f>IF(Taxonomy!E157="","",Taxonomy!E157)</f>
        <v/>
      </c>
      <c r="C157" s="58">
        <f>IF(Taxonomy!J157="","",Taxonomy!J157)</f>
        <v/>
      </c>
      <c r="D157" s="57">
        <f>IF(Taxonomy!S157="","",Taxonomy!S157)</f>
        <v/>
      </c>
      <c r="E157" s="59" t="n"/>
      <c r="F157" s="60" t="n"/>
      <c r="G157" s="60" t="n"/>
      <c r="H157" s="60" t="n"/>
      <c r="I157" s="60" t="n"/>
      <c r="J157" s="60" t="n"/>
      <c r="K157" s="61">
        <f>IF(OR(B157="",D157="Cut"),"",IF(COUNTA(F157:J157)&lt;5,"Answer all 5",IF(COUNTIF(F157:J157,"Y")&gt;0,"High","Low")))</f>
        <v/>
      </c>
      <c r="L157" s="60" t="n"/>
      <c r="M157" s="60" t="n"/>
      <c r="N157" s="60" t="n"/>
      <c r="O157" s="60" t="n"/>
      <c r="P157" s="61">
        <f>IF(OR(B157="",D157="Cut"),"",IF(COUNTA(L157:O157)&lt;4,"Answer all 4",IF(COUNTIF(L157:O157,"Y")&gt;0,"Hard","Easy")))</f>
        <v/>
      </c>
      <c r="Q157" s="60" t="n"/>
      <c r="R157" s="61">
        <f>IF(B157="","",IF(D157="Cut","Cut",IF(Q157="Y","Human",IF(OR(K157="Answer all 5",P157="Answer all 4"),"Score it",IF(K157="High",IF(P157="Hard","Human","Assist"),IF(P157="Hard","Agent","Automate"))))))</f>
        <v/>
      </c>
      <c r="S157" s="60" t="n"/>
      <c r="T157" s="59" t="n"/>
      <c r="U157" s="62" t="n"/>
      <c r="V157" s="57">
        <f>IF(B157="","",IF(R157="Cut","Stop doing this task.",IF(R157="Score it","Answer all nine questions.",IF(AND(R157="Human",Q157&lt;&gt;"Y"),"Confirm it stays Human, or redesign it so it is easier to check and score again.",IF(AND(R157="Agent",S157&lt;&gt;"Y"),"Write the agent job description before it goes live.",IF(T157="","Name an owner.",IF(U157="","Set a review date.","Ready.")))))))</f>
        <v/>
      </c>
    </row>
    <row r="158" ht="15" customHeight="1" s="41">
      <c r="A158" s="57">
        <f>IF(Taxonomy!A158="","",Taxonomy!A158)</f>
        <v/>
      </c>
      <c r="B158" s="57">
        <f>IF(Taxonomy!E158="","",Taxonomy!E158)</f>
        <v/>
      </c>
      <c r="C158" s="58">
        <f>IF(Taxonomy!J158="","",Taxonomy!J158)</f>
        <v/>
      </c>
      <c r="D158" s="57">
        <f>IF(Taxonomy!S158="","",Taxonomy!S158)</f>
        <v/>
      </c>
      <c r="E158" s="59" t="n"/>
      <c r="F158" s="60" t="n"/>
      <c r="G158" s="60" t="n"/>
      <c r="H158" s="60" t="n"/>
      <c r="I158" s="60" t="n"/>
      <c r="J158" s="60" t="n"/>
      <c r="K158" s="61">
        <f>IF(OR(B158="",D158="Cut"),"",IF(COUNTA(F158:J158)&lt;5,"Answer all 5",IF(COUNTIF(F158:J158,"Y")&gt;0,"High","Low")))</f>
        <v/>
      </c>
      <c r="L158" s="60" t="n"/>
      <c r="M158" s="60" t="n"/>
      <c r="N158" s="60" t="n"/>
      <c r="O158" s="60" t="n"/>
      <c r="P158" s="61">
        <f>IF(OR(B158="",D158="Cut"),"",IF(COUNTA(L158:O158)&lt;4,"Answer all 4",IF(COUNTIF(L158:O158,"Y")&gt;0,"Hard","Easy")))</f>
        <v/>
      </c>
      <c r="Q158" s="60" t="n"/>
      <c r="R158" s="61">
        <f>IF(B158="","",IF(D158="Cut","Cut",IF(Q158="Y","Human",IF(OR(K158="Answer all 5",P158="Answer all 4"),"Score it",IF(K158="High",IF(P158="Hard","Human","Assist"),IF(P158="Hard","Agent","Automate"))))))</f>
        <v/>
      </c>
      <c r="S158" s="60" t="n"/>
      <c r="T158" s="59" t="n"/>
      <c r="U158" s="62" t="n"/>
      <c r="V158" s="57">
        <f>IF(B158="","",IF(R158="Cut","Stop doing this task.",IF(R158="Score it","Answer all nine questions.",IF(AND(R158="Human",Q158&lt;&gt;"Y"),"Confirm it stays Human, or redesign it so it is easier to check and score again.",IF(AND(R158="Agent",S158&lt;&gt;"Y"),"Write the agent job description before it goes live.",IF(T158="","Name an owner.",IF(U158="","Set a review date.","Ready.")))))))</f>
        <v/>
      </c>
    </row>
    <row r="159" ht="15" customHeight="1" s="41">
      <c r="A159" s="57">
        <f>IF(Taxonomy!A159="","",Taxonomy!A159)</f>
        <v/>
      </c>
      <c r="B159" s="57">
        <f>IF(Taxonomy!E159="","",Taxonomy!E159)</f>
        <v/>
      </c>
      <c r="C159" s="58">
        <f>IF(Taxonomy!J159="","",Taxonomy!J159)</f>
        <v/>
      </c>
      <c r="D159" s="57">
        <f>IF(Taxonomy!S159="","",Taxonomy!S159)</f>
        <v/>
      </c>
      <c r="E159" s="59" t="n"/>
      <c r="F159" s="60" t="n"/>
      <c r="G159" s="60" t="n"/>
      <c r="H159" s="60" t="n"/>
      <c r="I159" s="60" t="n"/>
      <c r="J159" s="60" t="n"/>
      <c r="K159" s="61">
        <f>IF(OR(B159="",D159="Cut"),"",IF(COUNTA(F159:J159)&lt;5,"Answer all 5",IF(COUNTIF(F159:J159,"Y")&gt;0,"High","Low")))</f>
        <v/>
      </c>
      <c r="L159" s="60" t="n"/>
      <c r="M159" s="60" t="n"/>
      <c r="N159" s="60" t="n"/>
      <c r="O159" s="60" t="n"/>
      <c r="P159" s="61">
        <f>IF(OR(B159="",D159="Cut"),"",IF(COUNTA(L159:O159)&lt;4,"Answer all 4",IF(COUNTIF(L159:O159,"Y")&gt;0,"Hard","Easy")))</f>
        <v/>
      </c>
      <c r="Q159" s="60" t="n"/>
      <c r="R159" s="61">
        <f>IF(B159="","",IF(D159="Cut","Cut",IF(Q159="Y","Human",IF(OR(K159="Answer all 5",P159="Answer all 4"),"Score it",IF(K159="High",IF(P159="Hard","Human","Assist"),IF(P159="Hard","Agent","Automate"))))))</f>
        <v/>
      </c>
      <c r="S159" s="60" t="n"/>
      <c r="T159" s="59" t="n"/>
      <c r="U159" s="62" t="n"/>
      <c r="V159" s="57">
        <f>IF(B159="","",IF(R159="Cut","Stop doing this task.",IF(R159="Score it","Answer all nine questions.",IF(AND(R159="Human",Q159&lt;&gt;"Y"),"Confirm it stays Human, or redesign it so it is easier to check and score again.",IF(AND(R159="Agent",S159&lt;&gt;"Y"),"Write the agent job description before it goes live.",IF(T159="","Name an owner.",IF(U159="","Set a review date.","Ready.")))))))</f>
        <v/>
      </c>
    </row>
    <row r="160" ht="15" customHeight="1" s="41">
      <c r="A160" s="57">
        <f>IF(Taxonomy!A160="","",Taxonomy!A160)</f>
        <v/>
      </c>
      <c r="B160" s="57">
        <f>IF(Taxonomy!E160="","",Taxonomy!E160)</f>
        <v/>
      </c>
      <c r="C160" s="58">
        <f>IF(Taxonomy!J160="","",Taxonomy!J160)</f>
        <v/>
      </c>
      <c r="D160" s="57">
        <f>IF(Taxonomy!S160="","",Taxonomy!S160)</f>
        <v/>
      </c>
      <c r="E160" s="59" t="n"/>
      <c r="F160" s="60" t="n"/>
      <c r="G160" s="60" t="n"/>
      <c r="H160" s="60" t="n"/>
      <c r="I160" s="60" t="n"/>
      <c r="J160" s="60" t="n"/>
      <c r="K160" s="61">
        <f>IF(OR(B160="",D160="Cut"),"",IF(COUNTA(F160:J160)&lt;5,"Answer all 5",IF(COUNTIF(F160:J160,"Y")&gt;0,"High","Low")))</f>
        <v/>
      </c>
      <c r="L160" s="60" t="n"/>
      <c r="M160" s="60" t="n"/>
      <c r="N160" s="60" t="n"/>
      <c r="O160" s="60" t="n"/>
      <c r="P160" s="61">
        <f>IF(OR(B160="",D160="Cut"),"",IF(COUNTA(L160:O160)&lt;4,"Answer all 4",IF(COUNTIF(L160:O160,"Y")&gt;0,"Hard","Easy")))</f>
        <v/>
      </c>
      <c r="Q160" s="60" t="n"/>
      <c r="R160" s="61">
        <f>IF(B160="","",IF(D160="Cut","Cut",IF(Q160="Y","Human",IF(OR(K160="Answer all 5",P160="Answer all 4"),"Score it",IF(K160="High",IF(P160="Hard","Human","Assist"),IF(P160="Hard","Agent","Automate"))))))</f>
        <v/>
      </c>
      <c r="S160" s="60" t="n"/>
      <c r="T160" s="59" t="n"/>
      <c r="U160" s="62" t="n"/>
      <c r="V160" s="57">
        <f>IF(B160="","",IF(R160="Cut","Stop doing this task.",IF(R160="Score it","Answer all nine questions.",IF(AND(R160="Human",Q160&lt;&gt;"Y"),"Confirm it stays Human, or redesign it so it is easier to check and score again.",IF(AND(R160="Agent",S160&lt;&gt;"Y"),"Write the agent job description before it goes live.",IF(T160="","Name an owner.",IF(U160="","Set a review date.","Ready.")))))))</f>
        <v/>
      </c>
    </row>
    <row r="161" ht="15" customHeight="1" s="41">
      <c r="A161" s="57">
        <f>IF(Taxonomy!A161="","",Taxonomy!A161)</f>
        <v/>
      </c>
      <c r="B161" s="57">
        <f>IF(Taxonomy!E161="","",Taxonomy!E161)</f>
        <v/>
      </c>
      <c r="C161" s="58">
        <f>IF(Taxonomy!J161="","",Taxonomy!J161)</f>
        <v/>
      </c>
      <c r="D161" s="57">
        <f>IF(Taxonomy!S161="","",Taxonomy!S161)</f>
        <v/>
      </c>
      <c r="E161" s="59" t="n"/>
      <c r="F161" s="60" t="n"/>
      <c r="G161" s="60" t="n"/>
      <c r="H161" s="60" t="n"/>
      <c r="I161" s="60" t="n"/>
      <c r="J161" s="60" t="n"/>
      <c r="K161" s="61">
        <f>IF(OR(B161="",D161="Cut"),"",IF(COUNTA(F161:J161)&lt;5,"Answer all 5",IF(COUNTIF(F161:J161,"Y")&gt;0,"High","Low")))</f>
        <v/>
      </c>
      <c r="L161" s="60" t="n"/>
      <c r="M161" s="60" t="n"/>
      <c r="N161" s="60" t="n"/>
      <c r="O161" s="60" t="n"/>
      <c r="P161" s="61">
        <f>IF(OR(B161="",D161="Cut"),"",IF(COUNTA(L161:O161)&lt;4,"Answer all 4",IF(COUNTIF(L161:O161,"Y")&gt;0,"Hard","Easy")))</f>
        <v/>
      </c>
      <c r="Q161" s="60" t="n"/>
      <c r="R161" s="61">
        <f>IF(B161="","",IF(D161="Cut","Cut",IF(Q161="Y","Human",IF(OR(K161="Answer all 5",P161="Answer all 4"),"Score it",IF(K161="High",IF(P161="Hard","Human","Assist"),IF(P161="Hard","Agent","Automate"))))))</f>
        <v/>
      </c>
      <c r="S161" s="60" t="n"/>
      <c r="T161" s="59" t="n"/>
      <c r="U161" s="62" t="n"/>
      <c r="V161" s="57">
        <f>IF(B161="","",IF(R161="Cut","Stop doing this task.",IF(R161="Score it","Answer all nine questions.",IF(AND(R161="Human",Q161&lt;&gt;"Y"),"Confirm it stays Human, or redesign it so it is easier to check and score again.",IF(AND(R161="Agent",S161&lt;&gt;"Y"),"Write the agent job description before it goes live.",IF(T161="","Name an owner.",IF(U161="","Set a review date.","Ready.")))))))</f>
        <v/>
      </c>
    </row>
    <row r="162" ht="15" customHeight="1" s="41">
      <c r="A162" s="57">
        <f>IF(Taxonomy!A162="","",Taxonomy!A162)</f>
        <v/>
      </c>
      <c r="B162" s="57">
        <f>IF(Taxonomy!E162="","",Taxonomy!E162)</f>
        <v/>
      </c>
      <c r="C162" s="58">
        <f>IF(Taxonomy!J162="","",Taxonomy!J162)</f>
        <v/>
      </c>
      <c r="D162" s="57">
        <f>IF(Taxonomy!S162="","",Taxonomy!S162)</f>
        <v/>
      </c>
      <c r="E162" s="59" t="n"/>
      <c r="F162" s="60" t="n"/>
      <c r="G162" s="60" t="n"/>
      <c r="H162" s="60" t="n"/>
      <c r="I162" s="60" t="n"/>
      <c r="J162" s="60" t="n"/>
      <c r="K162" s="61">
        <f>IF(OR(B162="",D162="Cut"),"",IF(COUNTA(F162:J162)&lt;5,"Answer all 5",IF(COUNTIF(F162:J162,"Y")&gt;0,"High","Low")))</f>
        <v/>
      </c>
      <c r="L162" s="60" t="n"/>
      <c r="M162" s="60" t="n"/>
      <c r="N162" s="60" t="n"/>
      <c r="O162" s="60" t="n"/>
      <c r="P162" s="61">
        <f>IF(OR(B162="",D162="Cut"),"",IF(COUNTA(L162:O162)&lt;4,"Answer all 4",IF(COUNTIF(L162:O162,"Y")&gt;0,"Hard","Easy")))</f>
        <v/>
      </c>
      <c r="Q162" s="60" t="n"/>
      <c r="R162" s="61">
        <f>IF(B162="","",IF(D162="Cut","Cut",IF(Q162="Y","Human",IF(OR(K162="Answer all 5",P162="Answer all 4"),"Score it",IF(K162="High",IF(P162="Hard","Human","Assist"),IF(P162="Hard","Agent","Automate"))))))</f>
        <v/>
      </c>
      <c r="S162" s="60" t="n"/>
      <c r="T162" s="59" t="n"/>
      <c r="U162" s="62" t="n"/>
      <c r="V162" s="57">
        <f>IF(B162="","",IF(R162="Cut","Stop doing this task.",IF(R162="Score it","Answer all nine questions.",IF(AND(R162="Human",Q162&lt;&gt;"Y"),"Confirm it stays Human, or redesign it so it is easier to check and score again.",IF(AND(R162="Agent",S162&lt;&gt;"Y"),"Write the agent job description before it goes live.",IF(T162="","Name an owner.",IF(U162="","Set a review date.","Ready.")))))))</f>
        <v/>
      </c>
    </row>
    <row r="163" ht="15" customHeight="1" s="41">
      <c r="A163" s="57">
        <f>IF(Taxonomy!A163="","",Taxonomy!A163)</f>
        <v/>
      </c>
      <c r="B163" s="57">
        <f>IF(Taxonomy!E163="","",Taxonomy!E163)</f>
        <v/>
      </c>
      <c r="C163" s="58">
        <f>IF(Taxonomy!J163="","",Taxonomy!J163)</f>
        <v/>
      </c>
      <c r="D163" s="57">
        <f>IF(Taxonomy!S163="","",Taxonomy!S163)</f>
        <v/>
      </c>
      <c r="E163" s="59" t="n"/>
      <c r="F163" s="60" t="n"/>
      <c r="G163" s="60" t="n"/>
      <c r="H163" s="60" t="n"/>
      <c r="I163" s="60" t="n"/>
      <c r="J163" s="60" t="n"/>
      <c r="K163" s="61">
        <f>IF(OR(B163="",D163="Cut"),"",IF(COUNTA(F163:J163)&lt;5,"Answer all 5",IF(COUNTIF(F163:J163,"Y")&gt;0,"High","Low")))</f>
        <v/>
      </c>
      <c r="L163" s="60" t="n"/>
      <c r="M163" s="60" t="n"/>
      <c r="N163" s="60" t="n"/>
      <c r="O163" s="60" t="n"/>
      <c r="P163" s="61">
        <f>IF(OR(B163="",D163="Cut"),"",IF(COUNTA(L163:O163)&lt;4,"Answer all 4",IF(COUNTIF(L163:O163,"Y")&gt;0,"Hard","Easy")))</f>
        <v/>
      </c>
      <c r="Q163" s="60" t="n"/>
      <c r="R163" s="61">
        <f>IF(B163="","",IF(D163="Cut","Cut",IF(Q163="Y","Human",IF(OR(K163="Answer all 5",P163="Answer all 4"),"Score it",IF(K163="High",IF(P163="Hard","Human","Assist"),IF(P163="Hard","Agent","Automate"))))))</f>
        <v/>
      </c>
      <c r="S163" s="60" t="n"/>
      <c r="T163" s="59" t="n"/>
      <c r="U163" s="62" t="n"/>
      <c r="V163" s="57">
        <f>IF(B163="","",IF(R163="Cut","Stop doing this task.",IF(R163="Score it","Answer all nine questions.",IF(AND(R163="Human",Q163&lt;&gt;"Y"),"Confirm it stays Human, or redesign it so it is easier to check and score again.",IF(AND(R163="Agent",S163&lt;&gt;"Y"),"Write the agent job description before it goes live.",IF(T163="","Name an owner.",IF(U163="","Set a review date.","Ready.")))))))</f>
        <v/>
      </c>
    </row>
    <row r="164" ht="15" customHeight="1" s="41">
      <c r="A164" s="57">
        <f>IF(Taxonomy!A164="","",Taxonomy!A164)</f>
        <v/>
      </c>
      <c r="B164" s="57">
        <f>IF(Taxonomy!E164="","",Taxonomy!E164)</f>
        <v/>
      </c>
      <c r="C164" s="58">
        <f>IF(Taxonomy!J164="","",Taxonomy!J164)</f>
        <v/>
      </c>
      <c r="D164" s="57">
        <f>IF(Taxonomy!S164="","",Taxonomy!S164)</f>
        <v/>
      </c>
      <c r="E164" s="59" t="n"/>
      <c r="F164" s="60" t="n"/>
      <c r="G164" s="60" t="n"/>
      <c r="H164" s="60" t="n"/>
      <c r="I164" s="60" t="n"/>
      <c r="J164" s="60" t="n"/>
      <c r="K164" s="61">
        <f>IF(OR(B164="",D164="Cut"),"",IF(COUNTA(F164:J164)&lt;5,"Answer all 5",IF(COUNTIF(F164:J164,"Y")&gt;0,"High","Low")))</f>
        <v/>
      </c>
      <c r="L164" s="60" t="n"/>
      <c r="M164" s="60" t="n"/>
      <c r="N164" s="60" t="n"/>
      <c r="O164" s="60" t="n"/>
      <c r="P164" s="61">
        <f>IF(OR(B164="",D164="Cut"),"",IF(COUNTA(L164:O164)&lt;4,"Answer all 4",IF(COUNTIF(L164:O164,"Y")&gt;0,"Hard","Easy")))</f>
        <v/>
      </c>
      <c r="Q164" s="60" t="n"/>
      <c r="R164" s="61">
        <f>IF(B164="","",IF(D164="Cut","Cut",IF(Q164="Y","Human",IF(OR(K164="Answer all 5",P164="Answer all 4"),"Score it",IF(K164="High",IF(P164="Hard","Human","Assist"),IF(P164="Hard","Agent","Automate"))))))</f>
        <v/>
      </c>
      <c r="S164" s="60" t="n"/>
      <c r="T164" s="59" t="n"/>
      <c r="U164" s="62" t="n"/>
      <c r="V164" s="57">
        <f>IF(B164="","",IF(R164="Cut","Stop doing this task.",IF(R164="Score it","Answer all nine questions.",IF(AND(R164="Human",Q164&lt;&gt;"Y"),"Confirm it stays Human, or redesign it so it is easier to check and score again.",IF(AND(R164="Agent",S164&lt;&gt;"Y"),"Write the agent job description before it goes live.",IF(T164="","Name an owner.",IF(U164="","Set a review date.","Ready.")))))))</f>
        <v/>
      </c>
    </row>
    <row r="165" ht="15" customHeight="1" s="41">
      <c r="A165" s="57">
        <f>IF(Taxonomy!A165="","",Taxonomy!A165)</f>
        <v/>
      </c>
      <c r="B165" s="57">
        <f>IF(Taxonomy!E165="","",Taxonomy!E165)</f>
        <v/>
      </c>
      <c r="C165" s="58">
        <f>IF(Taxonomy!J165="","",Taxonomy!J165)</f>
        <v/>
      </c>
      <c r="D165" s="57">
        <f>IF(Taxonomy!S165="","",Taxonomy!S165)</f>
        <v/>
      </c>
      <c r="E165" s="59" t="n"/>
      <c r="F165" s="60" t="n"/>
      <c r="G165" s="60" t="n"/>
      <c r="H165" s="60" t="n"/>
      <c r="I165" s="60" t="n"/>
      <c r="J165" s="60" t="n"/>
      <c r="K165" s="61">
        <f>IF(OR(B165="",D165="Cut"),"",IF(COUNTA(F165:J165)&lt;5,"Answer all 5",IF(COUNTIF(F165:J165,"Y")&gt;0,"High","Low")))</f>
        <v/>
      </c>
      <c r="L165" s="60" t="n"/>
      <c r="M165" s="60" t="n"/>
      <c r="N165" s="60" t="n"/>
      <c r="O165" s="60" t="n"/>
      <c r="P165" s="61">
        <f>IF(OR(B165="",D165="Cut"),"",IF(COUNTA(L165:O165)&lt;4,"Answer all 4",IF(COUNTIF(L165:O165,"Y")&gt;0,"Hard","Easy")))</f>
        <v/>
      </c>
      <c r="Q165" s="60" t="n"/>
      <c r="R165" s="61">
        <f>IF(B165="","",IF(D165="Cut","Cut",IF(Q165="Y","Human",IF(OR(K165="Answer all 5",P165="Answer all 4"),"Score it",IF(K165="High",IF(P165="Hard","Human","Assist"),IF(P165="Hard","Agent","Automate"))))))</f>
        <v/>
      </c>
      <c r="S165" s="60" t="n"/>
      <c r="T165" s="59" t="n"/>
      <c r="U165" s="62" t="n"/>
      <c r="V165" s="57">
        <f>IF(B165="","",IF(R165="Cut","Stop doing this task.",IF(R165="Score it","Answer all nine questions.",IF(AND(R165="Human",Q165&lt;&gt;"Y"),"Confirm it stays Human, or redesign it so it is easier to check and score again.",IF(AND(R165="Agent",S165&lt;&gt;"Y"),"Write the agent job description before it goes live.",IF(T165="","Name an owner.",IF(U165="","Set a review date.","Ready.")))))))</f>
        <v/>
      </c>
    </row>
    <row r="166" ht="15" customHeight="1" s="41">
      <c r="A166" s="57">
        <f>IF(Taxonomy!A166="","",Taxonomy!A166)</f>
        <v/>
      </c>
      <c r="B166" s="57">
        <f>IF(Taxonomy!E166="","",Taxonomy!E166)</f>
        <v/>
      </c>
      <c r="C166" s="58">
        <f>IF(Taxonomy!J166="","",Taxonomy!J166)</f>
        <v/>
      </c>
      <c r="D166" s="57">
        <f>IF(Taxonomy!S166="","",Taxonomy!S166)</f>
        <v/>
      </c>
      <c r="E166" s="59" t="n"/>
      <c r="F166" s="60" t="n"/>
      <c r="G166" s="60" t="n"/>
      <c r="H166" s="60" t="n"/>
      <c r="I166" s="60" t="n"/>
      <c r="J166" s="60" t="n"/>
      <c r="K166" s="61">
        <f>IF(OR(B166="",D166="Cut"),"",IF(COUNTA(F166:J166)&lt;5,"Answer all 5",IF(COUNTIF(F166:J166,"Y")&gt;0,"High","Low")))</f>
        <v/>
      </c>
      <c r="L166" s="60" t="n"/>
      <c r="M166" s="60" t="n"/>
      <c r="N166" s="60" t="n"/>
      <c r="O166" s="60" t="n"/>
      <c r="P166" s="61">
        <f>IF(OR(B166="",D166="Cut"),"",IF(COUNTA(L166:O166)&lt;4,"Answer all 4",IF(COUNTIF(L166:O166,"Y")&gt;0,"Hard","Easy")))</f>
        <v/>
      </c>
      <c r="Q166" s="60" t="n"/>
      <c r="R166" s="61">
        <f>IF(B166="","",IF(D166="Cut","Cut",IF(Q166="Y","Human",IF(OR(K166="Answer all 5",P166="Answer all 4"),"Score it",IF(K166="High",IF(P166="Hard","Human","Assist"),IF(P166="Hard","Agent","Automate"))))))</f>
        <v/>
      </c>
      <c r="S166" s="60" t="n"/>
      <c r="T166" s="59" t="n"/>
      <c r="U166" s="62" t="n"/>
      <c r="V166" s="57">
        <f>IF(B166="","",IF(R166="Cut","Stop doing this task.",IF(R166="Score it","Answer all nine questions.",IF(AND(R166="Human",Q166&lt;&gt;"Y"),"Confirm it stays Human, or redesign it so it is easier to check and score again.",IF(AND(R166="Agent",S166&lt;&gt;"Y"),"Write the agent job description before it goes live.",IF(T166="","Name an owner.",IF(U166="","Set a review date.","Ready.")))))))</f>
        <v/>
      </c>
    </row>
    <row r="167" ht="15" customHeight="1" s="41">
      <c r="A167" s="57">
        <f>IF(Taxonomy!A167="","",Taxonomy!A167)</f>
        <v/>
      </c>
      <c r="B167" s="57">
        <f>IF(Taxonomy!E167="","",Taxonomy!E167)</f>
        <v/>
      </c>
      <c r="C167" s="58">
        <f>IF(Taxonomy!J167="","",Taxonomy!J167)</f>
        <v/>
      </c>
      <c r="D167" s="57">
        <f>IF(Taxonomy!S167="","",Taxonomy!S167)</f>
        <v/>
      </c>
      <c r="E167" s="59" t="n"/>
      <c r="F167" s="60" t="n"/>
      <c r="G167" s="60" t="n"/>
      <c r="H167" s="60" t="n"/>
      <c r="I167" s="60" t="n"/>
      <c r="J167" s="60" t="n"/>
      <c r="K167" s="61">
        <f>IF(OR(B167="",D167="Cut"),"",IF(COUNTA(F167:J167)&lt;5,"Answer all 5",IF(COUNTIF(F167:J167,"Y")&gt;0,"High","Low")))</f>
        <v/>
      </c>
      <c r="L167" s="60" t="n"/>
      <c r="M167" s="60" t="n"/>
      <c r="N167" s="60" t="n"/>
      <c r="O167" s="60" t="n"/>
      <c r="P167" s="61">
        <f>IF(OR(B167="",D167="Cut"),"",IF(COUNTA(L167:O167)&lt;4,"Answer all 4",IF(COUNTIF(L167:O167,"Y")&gt;0,"Hard","Easy")))</f>
        <v/>
      </c>
      <c r="Q167" s="60" t="n"/>
      <c r="R167" s="61">
        <f>IF(B167="","",IF(D167="Cut","Cut",IF(Q167="Y","Human",IF(OR(K167="Answer all 5",P167="Answer all 4"),"Score it",IF(K167="High",IF(P167="Hard","Human","Assist"),IF(P167="Hard","Agent","Automate"))))))</f>
        <v/>
      </c>
      <c r="S167" s="60" t="n"/>
      <c r="T167" s="59" t="n"/>
      <c r="U167" s="62" t="n"/>
      <c r="V167" s="57">
        <f>IF(B167="","",IF(R167="Cut","Stop doing this task.",IF(R167="Score it","Answer all nine questions.",IF(AND(R167="Human",Q167&lt;&gt;"Y"),"Confirm it stays Human, or redesign it so it is easier to check and score again.",IF(AND(R167="Agent",S167&lt;&gt;"Y"),"Write the agent job description before it goes live.",IF(T167="","Name an owner.",IF(U167="","Set a review date.","Ready.")))))))</f>
        <v/>
      </c>
    </row>
    <row r="168" ht="15" customHeight="1" s="41">
      <c r="A168" s="57">
        <f>IF(Taxonomy!A168="","",Taxonomy!A168)</f>
        <v/>
      </c>
      <c r="B168" s="57">
        <f>IF(Taxonomy!E168="","",Taxonomy!E168)</f>
        <v/>
      </c>
      <c r="C168" s="58">
        <f>IF(Taxonomy!J168="","",Taxonomy!J168)</f>
        <v/>
      </c>
      <c r="D168" s="57">
        <f>IF(Taxonomy!S168="","",Taxonomy!S168)</f>
        <v/>
      </c>
      <c r="E168" s="59" t="n"/>
      <c r="F168" s="60" t="n"/>
      <c r="G168" s="60" t="n"/>
      <c r="H168" s="60" t="n"/>
      <c r="I168" s="60" t="n"/>
      <c r="J168" s="60" t="n"/>
      <c r="K168" s="61">
        <f>IF(OR(B168="",D168="Cut"),"",IF(COUNTA(F168:J168)&lt;5,"Answer all 5",IF(COUNTIF(F168:J168,"Y")&gt;0,"High","Low")))</f>
        <v/>
      </c>
      <c r="L168" s="60" t="n"/>
      <c r="M168" s="60" t="n"/>
      <c r="N168" s="60" t="n"/>
      <c r="O168" s="60" t="n"/>
      <c r="P168" s="61">
        <f>IF(OR(B168="",D168="Cut"),"",IF(COUNTA(L168:O168)&lt;4,"Answer all 4",IF(COUNTIF(L168:O168,"Y")&gt;0,"Hard","Easy")))</f>
        <v/>
      </c>
      <c r="Q168" s="60" t="n"/>
      <c r="R168" s="61">
        <f>IF(B168="","",IF(D168="Cut","Cut",IF(Q168="Y","Human",IF(OR(K168="Answer all 5",P168="Answer all 4"),"Score it",IF(K168="High",IF(P168="Hard","Human","Assist"),IF(P168="Hard","Agent","Automate"))))))</f>
        <v/>
      </c>
      <c r="S168" s="60" t="n"/>
      <c r="T168" s="59" t="n"/>
      <c r="U168" s="62" t="n"/>
      <c r="V168" s="57">
        <f>IF(B168="","",IF(R168="Cut","Stop doing this task.",IF(R168="Score it","Answer all nine questions.",IF(AND(R168="Human",Q168&lt;&gt;"Y"),"Confirm it stays Human, or redesign it so it is easier to check and score again.",IF(AND(R168="Agent",S168&lt;&gt;"Y"),"Write the agent job description before it goes live.",IF(T168="","Name an owner.",IF(U168="","Set a review date.","Ready.")))))))</f>
        <v/>
      </c>
    </row>
    <row r="169" ht="15" customHeight="1" s="41">
      <c r="A169" s="57">
        <f>IF(Taxonomy!A169="","",Taxonomy!A169)</f>
        <v/>
      </c>
      <c r="B169" s="57">
        <f>IF(Taxonomy!E169="","",Taxonomy!E169)</f>
        <v/>
      </c>
      <c r="C169" s="58">
        <f>IF(Taxonomy!J169="","",Taxonomy!J169)</f>
        <v/>
      </c>
      <c r="D169" s="57">
        <f>IF(Taxonomy!S169="","",Taxonomy!S169)</f>
        <v/>
      </c>
      <c r="E169" s="59" t="n"/>
      <c r="F169" s="60" t="n"/>
      <c r="G169" s="60" t="n"/>
      <c r="H169" s="60" t="n"/>
      <c r="I169" s="60" t="n"/>
      <c r="J169" s="60" t="n"/>
      <c r="K169" s="61">
        <f>IF(OR(B169="",D169="Cut"),"",IF(COUNTA(F169:J169)&lt;5,"Answer all 5",IF(COUNTIF(F169:J169,"Y")&gt;0,"High","Low")))</f>
        <v/>
      </c>
      <c r="L169" s="60" t="n"/>
      <c r="M169" s="60" t="n"/>
      <c r="N169" s="60" t="n"/>
      <c r="O169" s="60" t="n"/>
      <c r="P169" s="61">
        <f>IF(OR(B169="",D169="Cut"),"",IF(COUNTA(L169:O169)&lt;4,"Answer all 4",IF(COUNTIF(L169:O169,"Y")&gt;0,"Hard","Easy")))</f>
        <v/>
      </c>
      <c r="Q169" s="60" t="n"/>
      <c r="R169" s="61">
        <f>IF(B169="","",IF(D169="Cut","Cut",IF(Q169="Y","Human",IF(OR(K169="Answer all 5",P169="Answer all 4"),"Score it",IF(K169="High",IF(P169="Hard","Human","Assist"),IF(P169="Hard","Agent","Automate"))))))</f>
        <v/>
      </c>
      <c r="S169" s="60" t="n"/>
      <c r="T169" s="59" t="n"/>
      <c r="U169" s="62" t="n"/>
      <c r="V169" s="57">
        <f>IF(B169="","",IF(R169="Cut","Stop doing this task.",IF(R169="Score it","Answer all nine questions.",IF(AND(R169="Human",Q169&lt;&gt;"Y"),"Confirm it stays Human, or redesign it so it is easier to check and score again.",IF(AND(R169="Agent",S169&lt;&gt;"Y"),"Write the agent job description before it goes live.",IF(T169="","Name an owner.",IF(U169="","Set a review date.","Ready.")))))))</f>
        <v/>
      </c>
    </row>
    <row r="170" ht="15" customHeight="1" s="41">
      <c r="A170" s="57">
        <f>IF(Taxonomy!A170="","",Taxonomy!A170)</f>
        <v/>
      </c>
      <c r="B170" s="57">
        <f>IF(Taxonomy!E170="","",Taxonomy!E170)</f>
        <v/>
      </c>
      <c r="C170" s="58">
        <f>IF(Taxonomy!J170="","",Taxonomy!J170)</f>
        <v/>
      </c>
      <c r="D170" s="57">
        <f>IF(Taxonomy!S170="","",Taxonomy!S170)</f>
        <v/>
      </c>
      <c r="E170" s="59" t="n"/>
      <c r="F170" s="60" t="n"/>
      <c r="G170" s="60" t="n"/>
      <c r="H170" s="60" t="n"/>
      <c r="I170" s="60" t="n"/>
      <c r="J170" s="60" t="n"/>
      <c r="K170" s="61">
        <f>IF(OR(B170="",D170="Cut"),"",IF(COUNTA(F170:J170)&lt;5,"Answer all 5",IF(COUNTIF(F170:J170,"Y")&gt;0,"High","Low")))</f>
        <v/>
      </c>
      <c r="L170" s="60" t="n"/>
      <c r="M170" s="60" t="n"/>
      <c r="N170" s="60" t="n"/>
      <c r="O170" s="60" t="n"/>
      <c r="P170" s="61">
        <f>IF(OR(B170="",D170="Cut"),"",IF(COUNTA(L170:O170)&lt;4,"Answer all 4",IF(COUNTIF(L170:O170,"Y")&gt;0,"Hard","Easy")))</f>
        <v/>
      </c>
      <c r="Q170" s="60" t="n"/>
      <c r="R170" s="61">
        <f>IF(B170="","",IF(D170="Cut","Cut",IF(Q170="Y","Human",IF(OR(K170="Answer all 5",P170="Answer all 4"),"Score it",IF(K170="High",IF(P170="Hard","Human","Assist"),IF(P170="Hard","Agent","Automate"))))))</f>
        <v/>
      </c>
      <c r="S170" s="60" t="n"/>
      <c r="T170" s="59" t="n"/>
      <c r="U170" s="62" t="n"/>
      <c r="V170" s="57">
        <f>IF(B170="","",IF(R170="Cut","Stop doing this task.",IF(R170="Score it","Answer all nine questions.",IF(AND(R170="Human",Q170&lt;&gt;"Y"),"Confirm it stays Human, or redesign it so it is easier to check and score again.",IF(AND(R170="Agent",S170&lt;&gt;"Y"),"Write the agent job description before it goes live.",IF(T170="","Name an owner.",IF(U170="","Set a review date.","Ready.")))))))</f>
        <v/>
      </c>
    </row>
    <row r="171" ht="15" customHeight="1" s="41">
      <c r="A171" s="57">
        <f>IF(Taxonomy!A171="","",Taxonomy!A171)</f>
        <v/>
      </c>
      <c r="B171" s="57">
        <f>IF(Taxonomy!E171="","",Taxonomy!E171)</f>
        <v/>
      </c>
      <c r="C171" s="58">
        <f>IF(Taxonomy!J171="","",Taxonomy!J171)</f>
        <v/>
      </c>
      <c r="D171" s="57">
        <f>IF(Taxonomy!S171="","",Taxonomy!S171)</f>
        <v/>
      </c>
      <c r="E171" s="59" t="n"/>
      <c r="F171" s="60" t="n"/>
      <c r="G171" s="60" t="n"/>
      <c r="H171" s="60" t="n"/>
      <c r="I171" s="60" t="n"/>
      <c r="J171" s="60" t="n"/>
      <c r="K171" s="61">
        <f>IF(OR(B171="",D171="Cut"),"",IF(COUNTA(F171:J171)&lt;5,"Answer all 5",IF(COUNTIF(F171:J171,"Y")&gt;0,"High","Low")))</f>
        <v/>
      </c>
      <c r="L171" s="60" t="n"/>
      <c r="M171" s="60" t="n"/>
      <c r="N171" s="60" t="n"/>
      <c r="O171" s="60" t="n"/>
      <c r="P171" s="61">
        <f>IF(OR(B171="",D171="Cut"),"",IF(COUNTA(L171:O171)&lt;4,"Answer all 4",IF(COUNTIF(L171:O171,"Y")&gt;0,"Hard","Easy")))</f>
        <v/>
      </c>
      <c r="Q171" s="60" t="n"/>
      <c r="R171" s="61">
        <f>IF(B171="","",IF(D171="Cut","Cut",IF(Q171="Y","Human",IF(OR(K171="Answer all 5",P171="Answer all 4"),"Score it",IF(K171="High",IF(P171="Hard","Human","Assist"),IF(P171="Hard","Agent","Automate"))))))</f>
        <v/>
      </c>
      <c r="S171" s="60" t="n"/>
      <c r="T171" s="59" t="n"/>
      <c r="U171" s="62" t="n"/>
      <c r="V171" s="57">
        <f>IF(B171="","",IF(R171="Cut","Stop doing this task.",IF(R171="Score it","Answer all nine questions.",IF(AND(R171="Human",Q171&lt;&gt;"Y"),"Confirm it stays Human, or redesign it so it is easier to check and score again.",IF(AND(R171="Agent",S171&lt;&gt;"Y"),"Write the agent job description before it goes live.",IF(T171="","Name an owner.",IF(U171="","Set a review date.","Ready.")))))))</f>
        <v/>
      </c>
    </row>
    <row r="172" ht="15" customHeight="1" s="41">
      <c r="A172" s="57">
        <f>IF(Taxonomy!A172="","",Taxonomy!A172)</f>
        <v/>
      </c>
      <c r="B172" s="57">
        <f>IF(Taxonomy!E172="","",Taxonomy!E172)</f>
        <v/>
      </c>
      <c r="C172" s="58">
        <f>IF(Taxonomy!J172="","",Taxonomy!J172)</f>
        <v/>
      </c>
      <c r="D172" s="57">
        <f>IF(Taxonomy!S172="","",Taxonomy!S172)</f>
        <v/>
      </c>
      <c r="E172" s="59" t="n"/>
      <c r="F172" s="60" t="n"/>
      <c r="G172" s="60" t="n"/>
      <c r="H172" s="60" t="n"/>
      <c r="I172" s="60" t="n"/>
      <c r="J172" s="60" t="n"/>
      <c r="K172" s="61">
        <f>IF(OR(B172="",D172="Cut"),"",IF(COUNTA(F172:J172)&lt;5,"Answer all 5",IF(COUNTIF(F172:J172,"Y")&gt;0,"High","Low")))</f>
        <v/>
      </c>
      <c r="L172" s="60" t="n"/>
      <c r="M172" s="60" t="n"/>
      <c r="N172" s="60" t="n"/>
      <c r="O172" s="60" t="n"/>
      <c r="P172" s="61">
        <f>IF(OR(B172="",D172="Cut"),"",IF(COUNTA(L172:O172)&lt;4,"Answer all 4",IF(COUNTIF(L172:O172,"Y")&gt;0,"Hard","Easy")))</f>
        <v/>
      </c>
      <c r="Q172" s="60" t="n"/>
      <c r="R172" s="61">
        <f>IF(B172="","",IF(D172="Cut","Cut",IF(Q172="Y","Human",IF(OR(K172="Answer all 5",P172="Answer all 4"),"Score it",IF(K172="High",IF(P172="Hard","Human","Assist"),IF(P172="Hard","Agent","Automate"))))))</f>
        <v/>
      </c>
      <c r="S172" s="60" t="n"/>
      <c r="T172" s="59" t="n"/>
      <c r="U172" s="62" t="n"/>
      <c r="V172" s="57">
        <f>IF(B172="","",IF(R172="Cut","Stop doing this task.",IF(R172="Score it","Answer all nine questions.",IF(AND(R172="Human",Q172&lt;&gt;"Y"),"Confirm it stays Human, or redesign it so it is easier to check and score again.",IF(AND(R172="Agent",S172&lt;&gt;"Y"),"Write the agent job description before it goes live.",IF(T172="","Name an owner.",IF(U172="","Set a review date.","Ready.")))))))</f>
        <v/>
      </c>
    </row>
    <row r="173" ht="15" customHeight="1" s="41">
      <c r="A173" s="57">
        <f>IF(Taxonomy!A173="","",Taxonomy!A173)</f>
        <v/>
      </c>
      <c r="B173" s="57">
        <f>IF(Taxonomy!E173="","",Taxonomy!E173)</f>
        <v/>
      </c>
      <c r="C173" s="58">
        <f>IF(Taxonomy!J173="","",Taxonomy!J173)</f>
        <v/>
      </c>
      <c r="D173" s="57">
        <f>IF(Taxonomy!S173="","",Taxonomy!S173)</f>
        <v/>
      </c>
      <c r="E173" s="59" t="n"/>
      <c r="F173" s="60" t="n"/>
      <c r="G173" s="60" t="n"/>
      <c r="H173" s="60" t="n"/>
      <c r="I173" s="60" t="n"/>
      <c r="J173" s="60" t="n"/>
      <c r="K173" s="61">
        <f>IF(OR(B173="",D173="Cut"),"",IF(COUNTA(F173:J173)&lt;5,"Answer all 5",IF(COUNTIF(F173:J173,"Y")&gt;0,"High","Low")))</f>
        <v/>
      </c>
      <c r="L173" s="60" t="n"/>
      <c r="M173" s="60" t="n"/>
      <c r="N173" s="60" t="n"/>
      <c r="O173" s="60" t="n"/>
      <c r="P173" s="61">
        <f>IF(OR(B173="",D173="Cut"),"",IF(COUNTA(L173:O173)&lt;4,"Answer all 4",IF(COUNTIF(L173:O173,"Y")&gt;0,"Hard","Easy")))</f>
        <v/>
      </c>
      <c r="Q173" s="60" t="n"/>
      <c r="R173" s="61">
        <f>IF(B173="","",IF(D173="Cut","Cut",IF(Q173="Y","Human",IF(OR(K173="Answer all 5",P173="Answer all 4"),"Score it",IF(K173="High",IF(P173="Hard","Human","Assist"),IF(P173="Hard","Agent","Automate"))))))</f>
        <v/>
      </c>
      <c r="S173" s="60" t="n"/>
      <c r="T173" s="59" t="n"/>
      <c r="U173" s="62" t="n"/>
      <c r="V173" s="57">
        <f>IF(B173="","",IF(R173="Cut","Stop doing this task.",IF(R173="Score it","Answer all nine questions.",IF(AND(R173="Human",Q173&lt;&gt;"Y"),"Confirm it stays Human, or redesign it so it is easier to check and score again.",IF(AND(R173="Agent",S173&lt;&gt;"Y"),"Write the agent job description before it goes live.",IF(T173="","Name an owner.",IF(U173="","Set a review date.","Ready.")))))))</f>
        <v/>
      </c>
    </row>
    <row r="174" ht="15" customHeight="1" s="41">
      <c r="A174" s="57">
        <f>IF(Taxonomy!A174="","",Taxonomy!A174)</f>
        <v/>
      </c>
      <c r="B174" s="57">
        <f>IF(Taxonomy!E174="","",Taxonomy!E174)</f>
        <v/>
      </c>
      <c r="C174" s="58">
        <f>IF(Taxonomy!J174="","",Taxonomy!J174)</f>
        <v/>
      </c>
      <c r="D174" s="57">
        <f>IF(Taxonomy!S174="","",Taxonomy!S174)</f>
        <v/>
      </c>
      <c r="E174" s="59" t="n"/>
      <c r="F174" s="60" t="n"/>
      <c r="G174" s="60" t="n"/>
      <c r="H174" s="60" t="n"/>
      <c r="I174" s="60" t="n"/>
      <c r="J174" s="60" t="n"/>
      <c r="K174" s="61">
        <f>IF(OR(B174="",D174="Cut"),"",IF(COUNTA(F174:J174)&lt;5,"Answer all 5",IF(COUNTIF(F174:J174,"Y")&gt;0,"High","Low")))</f>
        <v/>
      </c>
      <c r="L174" s="60" t="n"/>
      <c r="M174" s="60" t="n"/>
      <c r="N174" s="60" t="n"/>
      <c r="O174" s="60" t="n"/>
      <c r="P174" s="61">
        <f>IF(OR(B174="",D174="Cut"),"",IF(COUNTA(L174:O174)&lt;4,"Answer all 4",IF(COUNTIF(L174:O174,"Y")&gt;0,"Hard","Easy")))</f>
        <v/>
      </c>
      <c r="Q174" s="60" t="n"/>
      <c r="R174" s="61">
        <f>IF(B174="","",IF(D174="Cut","Cut",IF(Q174="Y","Human",IF(OR(K174="Answer all 5",P174="Answer all 4"),"Score it",IF(K174="High",IF(P174="Hard","Human","Assist"),IF(P174="Hard","Agent","Automate"))))))</f>
        <v/>
      </c>
      <c r="S174" s="60" t="n"/>
      <c r="T174" s="59" t="n"/>
      <c r="U174" s="62" t="n"/>
      <c r="V174" s="57">
        <f>IF(B174="","",IF(R174="Cut","Stop doing this task.",IF(R174="Score it","Answer all nine questions.",IF(AND(R174="Human",Q174&lt;&gt;"Y"),"Confirm it stays Human, or redesign it so it is easier to check and score again.",IF(AND(R174="Agent",S174&lt;&gt;"Y"),"Write the agent job description before it goes live.",IF(T174="","Name an owner.",IF(U174="","Set a review date.","Ready.")))))))</f>
        <v/>
      </c>
    </row>
    <row r="175" ht="15" customHeight="1" s="41">
      <c r="A175" s="57">
        <f>IF(Taxonomy!A175="","",Taxonomy!A175)</f>
        <v/>
      </c>
      <c r="B175" s="57">
        <f>IF(Taxonomy!E175="","",Taxonomy!E175)</f>
        <v/>
      </c>
      <c r="C175" s="58">
        <f>IF(Taxonomy!J175="","",Taxonomy!J175)</f>
        <v/>
      </c>
      <c r="D175" s="57">
        <f>IF(Taxonomy!S175="","",Taxonomy!S175)</f>
        <v/>
      </c>
      <c r="E175" s="59" t="n"/>
      <c r="F175" s="60" t="n"/>
      <c r="G175" s="60" t="n"/>
      <c r="H175" s="60" t="n"/>
      <c r="I175" s="60" t="n"/>
      <c r="J175" s="60" t="n"/>
      <c r="K175" s="61">
        <f>IF(OR(B175="",D175="Cut"),"",IF(COUNTA(F175:J175)&lt;5,"Answer all 5",IF(COUNTIF(F175:J175,"Y")&gt;0,"High","Low")))</f>
        <v/>
      </c>
      <c r="L175" s="60" t="n"/>
      <c r="M175" s="60" t="n"/>
      <c r="N175" s="60" t="n"/>
      <c r="O175" s="60" t="n"/>
      <c r="P175" s="61">
        <f>IF(OR(B175="",D175="Cut"),"",IF(COUNTA(L175:O175)&lt;4,"Answer all 4",IF(COUNTIF(L175:O175,"Y")&gt;0,"Hard","Easy")))</f>
        <v/>
      </c>
      <c r="Q175" s="60" t="n"/>
      <c r="R175" s="61">
        <f>IF(B175="","",IF(D175="Cut","Cut",IF(Q175="Y","Human",IF(OR(K175="Answer all 5",P175="Answer all 4"),"Score it",IF(K175="High",IF(P175="Hard","Human","Assist"),IF(P175="Hard","Agent","Automate"))))))</f>
        <v/>
      </c>
      <c r="S175" s="60" t="n"/>
      <c r="T175" s="59" t="n"/>
      <c r="U175" s="62" t="n"/>
      <c r="V175" s="57">
        <f>IF(B175="","",IF(R175="Cut","Stop doing this task.",IF(R175="Score it","Answer all nine questions.",IF(AND(R175="Human",Q175&lt;&gt;"Y"),"Confirm it stays Human, or redesign it so it is easier to check and score again.",IF(AND(R175="Agent",S175&lt;&gt;"Y"),"Write the agent job description before it goes live.",IF(T175="","Name an owner.",IF(U175="","Set a review date.","Ready.")))))))</f>
        <v/>
      </c>
    </row>
    <row r="176" ht="15" customHeight="1" s="41">
      <c r="A176" s="57">
        <f>IF(Taxonomy!A176="","",Taxonomy!A176)</f>
        <v/>
      </c>
      <c r="B176" s="57">
        <f>IF(Taxonomy!E176="","",Taxonomy!E176)</f>
        <v/>
      </c>
      <c r="C176" s="58">
        <f>IF(Taxonomy!J176="","",Taxonomy!J176)</f>
        <v/>
      </c>
      <c r="D176" s="57">
        <f>IF(Taxonomy!S176="","",Taxonomy!S176)</f>
        <v/>
      </c>
      <c r="E176" s="59" t="n"/>
      <c r="F176" s="60" t="n"/>
      <c r="G176" s="60" t="n"/>
      <c r="H176" s="60" t="n"/>
      <c r="I176" s="60" t="n"/>
      <c r="J176" s="60" t="n"/>
      <c r="K176" s="61">
        <f>IF(OR(B176="",D176="Cut"),"",IF(COUNTA(F176:J176)&lt;5,"Answer all 5",IF(COUNTIF(F176:J176,"Y")&gt;0,"High","Low")))</f>
        <v/>
      </c>
      <c r="L176" s="60" t="n"/>
      <c r="M176" s="60" t="n"/>
      <c r="N176" s="60" t="n"/>
      <c r="O176" s="60" t="n"/>
      <c r="P176" s="61">
        <f>IF(OR(B176="",D176="Cut"),"",IF(COUNTA(L176:O176)&lt;4,"Answer all 4",IF(COUNTIF(L176:O176,"Y")&gt;0,"Hard","Easy")))</f>
        <v/>
      </c>
      <c r="Q176" s="60" t="n"/>
      <c r="R176" s="61">
        <f>IF(B176="","",IF(D176="Cut","Cut",IF(Q176="Y","Human",IF(OR(K176="Answer all 5",P176="Answer all 4"),"Score it",IF(K176="High",IF(P176="Hard","Human","Assist"),IF(P176="Hard","Agent","Automate"))))))</f>
        <v/>
      </c>
      <c r="S176" s="60" t="n"/>
      <c r="T176" s="59" t="n"/>
      <c r="U176" s="62" t="n"/>
      <c r="V176" s="57">
        <f>IF(B176="","",IF(R176="Cut","Stop doing this task.",IF(R176="Score it","Answer all nine questions.",IF(AND(R176="Human",Q176&lt;&gt;"Y"),"Confirm it stays Human, or redesign it so it is easier to check and score again.",IF(AND(R176="Agent",S176&lt;&gt;"Y"),"Write the agent job description before it goes live.",IF(T176="","Name an owner.",IF(U176="","Set a review date.","Ready.")))))))</f>
        <v/>
      </c>
    </row>
    <row r="177" ht="15" customHeight="1" s="41">
      <c r="A177" s="57">
        <f>IF(Taxonomy!A177="","",Taxonomy!A177)</f>
        <v/>
      </c>
      <c r="B177" s="57">
        <f>IF(Taxonomy!E177="","",Taxonomy!E177)</f>
        <v/>
      </c>
      <c r="C177" s="58">
        <f>IF(Taxonomy!J177="","",Taxonomy!J177)</f>
        <v/>
      </c>
      <c r="D177" s="57">
        <f>IF(Taxonomy!S177="","",Taxonomy!S177)</f>
        <v/>
      </c>
      <c r="E177" s="59" t="n"/>
      <c r="F177" s="60" t="n"/>
      <c r="G177" s="60" t="n"/>
      <c r="H177" s="60" t="n"/>
      <c r="I177" s="60" t="n"/>
      <c r="J177" s="60" t="n"/>
      <c r="K177" s="61">
        <f>IF(OR(B177="",D177="Cut"),"",IF(COUNTA(F177:J177)&lt;5,"Answer all 5",IF(COUNTIF(F177:J177,"Y")&gt;0,"High","Low")))</f>
        <v/>
      </c>
      <c r="L177" s="60" t="n"/>
      <c r="M177" s="60" t="n"/>
      <c r="N177" s="60" t="n"/>
      <c r="O177" s="60" t="n"/>
      <c r="P177" s="61">
        <f>IF(OR(B177="",D177="Cut"),"",IF(COUNTA(L177:O177)&lt;4,"Answer all 4",IF(COUNTIF(L177:O177,"Y")&gt;0,"Hard","Easy")))</f>
        <v/>
      </c>
      <c r="Q177" s="60" t="n"/>
      <c r="R177" s="61">
        <f>IF(B177="","",IF(D177="Cut","Cut",IF(Q177="Y","Human",IF(OR(K177="Answer all 5",P177="Answer all 4"),"Score it",IF(K177="High",IF(P177="Hard","Human","Assist"),IF(P177="Hard","Agent","Automate"))))))</f>
        <v/>
      </c>
      <c r="S177" s="60" t="n"/>
      <c r="T177" s="59" t="n"/>
      <c r="U177" s="62" t="n"/>
      <c r="V177" s="57">
        <f>IF(B177="","",IF(R177="Cut","Stop doing this task.",IF(R177="Score it","Answer all nine questions.",IF(AND(R177="Human",Q177&lt;&gt;"Y"),"Confirm it stays Human, or redesign it so it is easier to check and score again.",IF(AND(R177="Agent",S177&lt;&gt;"Y"),"Write the agent job description before it goes live.",IF(T177="","Name an owner.",IF(U177="","Set a review date.","Ready.")))))))</f>
        <v/>
      </c>
    </row>
    <row r="178" ht="15" customHeight="1" s="41">
      <c r="A178" s="57">
        <f>IF(Taxonomy!A178="","",Taxonomy!A178)</f>
        <v/>
      </c>
      <c r="B178" s="57">
        <f>IF(Taxonomy!E178="","",Taxonomy!E178)</f>
        <v/>
      </c>
      <c r="C178" s="58">
        <f>IF(Taxonomy!J178="","",Taxonomy!J178)</f>
        <v/>
      </c>
      <c r="D178" s="57">
        <f>IF(Taxonomy!S178="","",Taxonomy!S178)</f>
        <v/>
      </c>
      <c r="E178" s="59" t="n"/>
      <c r="F178" s="60" t="n"/>
      <c r="G178" s="60" t="n"/>
      <c r="H178" s="60" t="n"/>
      <c r="I178" s="60" t="n"/>
      <c r="J178" s="60" t="n"/>
      <c r="K178" s="61">
        <f>IF(OR(B178="",D178="Cut"),"",IF(COUNTA(F178:J178)&lt;5,"Answer all 5",IF(COUNTIF(F178:J178,"Y")&gt;0,"High","Low")))</f>
        <v/>
      </c>
      <c r="L178" s="60" t="n"/>
      <c r="M178" s="60" t="n"/>
      <c r="N178" s="60" t="n"/>
      <c r="O178" s="60" t="n"/>
      <c r="P178" s="61">
        <f>IF(OR(B178="",D178="Cut"),"",IF(COUNTA(L178:O178)&lt;4,"Answer all 4",IF(COUNTIF(L178:O178,"Y")&gt;0,"Hard","Easy")))</f>
        <v/>
      </c>
      <c r="Q178" s="60" t="n"/>
      <c r="R178" s="61">
        <f>IF(B178="","",IF(D178="Cut","Cut",IF(Q178="Y","Human",IF(OR(K178="Answer all 5",P178="Answer all 4"),"Score it",IF(K178="High",IF(P178="Hard","Human","Assist"),IF(P178="Hard","Agent","Automate"))))))</f>
        <v/>
      </c>
      <c r="S178" s="60" t="n"/>
      <c r="T178" s="59" t="n"/>
      <c r="U178" s="62" t="n"/>
      <c r="V178" s="57">
        <f>IF(B178="","",IF(R178="Cut","Stop doing this task.",IF(R178="Score it","Answer all nine questions.",IF(AND(R178="Human",Q178&lt;&gt;"Y"),"Confirm it stays Human, or redesign it so it is easier to check and score again.",IF(AND(R178="Agent",S178&lt;&gt;"Y"),"Write the agent job description before it goes live.",IF(T178="","Name an owner.",IF(U178="","Set a review date.","Ready.")))))))</f>
        <v/>
      </c>
    </row>
    <row r="179" ht="15" customHeight="1" s="41">
      <c r="A179" s="57">
        <f>IF(Taxonomy!A179="","",Taxonomy!A179)</f>
        <v/>
      </c>
      <c r="B179" s="57">
        <f>IF(Taxonomy!E179="","",Taxonomy!E179)</f>
        <v/>
      </c>
      <c r="C179" s="58">
        <f>IF(Taxonomy!J179="","",Taxonomy!J179)</f>
        <v/>
      </c>
      <c r="D179" s="57">
        <f>IF(Taxonomy!S179="","",Taxonomy!S179)</f>
        <v/>
      </c>
      <c r="E179" s="59" t="n"/>
      <c r="F179" s="60" t="n"/>
      <c r="G179" s="60" t="n"/>
      <c r="H179" s="60" t="n"/>
      <c r="I179" s="60" t="n"/>
      <c r="J179" s="60" t="n"/>
      <c r="K179" s="61">
        <f>IF(OR(B179="",D179="Cut"),"",IF(COUNTA(F179:J179)&lt;5,"Answer all 5",IF(COUNTIF(F179:J179,"Y")&gt;0,"High","Low")))</f>
        <v/>
      </c>
      <c r="L179" s="60" t="n"/>
      <c r="M179" s="60" t="n"/>
      <c r="N179" s="60" t="n"/>
      <c r="O179" s="60" t="n"/>
      <c r="P179" s="61">
        <f>IF(OR(B179="",D179="Cut"),"",IF(COUNTA(L179:O179)&lt;4,"Answer all 4",IF(COUNTIF(L179:O179,"Y")&gt;0,"Hard","Easy")))</f>
        <v/>
      </c>
      <c r="Q179" s="60" t="n"/>
      <c r="R179" s="61">
        <f>IF(B179="","",IF(D179="Cut","Cut",IF(Q179="Y","Human",IF(OR(K179="Answer all 5",P179="Answer all 4"),"Score it",IF(K179="High",IF(P179="Hard","Human","Assist"),IF(P179="Hard","Agent","Automate"))))))</f>
        <v/>
      </c>
      <c r="S179" s="60" t="n"/>
      <c r="T179" s="59" t="n"/>
      <c r="U179" s="62" t="n"/>
      <c r="V179" s="57">
        <f>IF(B179="","",IF(R179="Cut","Stop doing this task.",IF(R179="Score it","Answer all nine questions.",IF(AND(R179="Human",Q179&lt;&gt;"Y"),"Confirm it stays Human, or redesign it so it is easier to check and score again.",IF(AND(R179="Agent",S179&lt;&gt;"Y"),"Write the agent job description before it goes live.",IF(T179="","Name an owner.",IF(U179="","Set a review date.","Ready.")))))))</f>
        <v/>
      </c>
    </row>
    <row r="180" ht="15" customHeight="1" s="41">
      <c r="A180" s="57">
        <f>IF(Taxonomy!A180="","",Taxonomy!A180)</f>
        <v/>
      </c>
      <c r="B180" s="57">
        <f>IF(Taxonomy!E180="","",Taxonomy!E180)</f>
        <v/>
      </c>
      <c r="C180" s="58">
        <f>IF(Taxonomy!J180="","",Taxonomy!J180)</f>
        <v/>
      </c>
      <c r="D180" s="57">
        <f>IF(Taxonomy!S180="","",Taxonomy!S180)</f>
        <v/>
      </c>
      <c r="E180" s="59" t="n"/>
      <c r="F180" s="60" t="n"/>
      <c r="G180" s="60" t="n"/>
      <c r="H180" s="60" t="n"/>
      <c r="I180" s="60" t="n"/>
      <c r="J180" s="60" t="n"/>
      <c r="K180" s="61">
        <f>IF(OR(B180="",D180="Cut"),"",IF(COUNTA(F180:J180)&lt;5,"Answer all 5",IF(COUNTIF(F180:J180,"Y")&gt;0,"High","Low")))</f>
        <v/>
      </c>
      <c r="L180" s="60" t="n"/>
      <c r="M180" s="60" t="n"/>
      <c r="N180" s="60" t="n"/>
      <c r="O180" s="60" t="n"/>
      <c r="P180" s="61">
        <f>IF(OR(B180="",D180="Cut"),"",IF(COUNTA(L180:O180)&lt;4,"Answer all 4",IF(COUNTIF(L180:O180,"Y")&gt;0,"Hard","Easy")))</f>
        <v/>
      </c>
      <c r="Q180" s="60" t="n"/>
      <c r="R180" s="61">
        <f>IF(B180="","",IF(D180="Cut","Cut",IF(Q180="Y","Human",IF(OR(K180="Answer all 5",P180="Answer all 4"),"Score it",IF(K180="High",IF(P180="Hard","Human","Assist"),IF(P180="Hard","Agent","Automate"))))))</f>
        <v/>
      </c>
      <c r="S180" s="60" t="n"/>
      <c r="T180" s="59" t="n"/>
      <c r="U180" s="62" t="n"/>
      <c r="V180" s="57">
        <f>IF(B180="","",IF(R180="Cut","Stop doing this task.",IF(R180="Score it","Answer all nine questions.",IF(AND(R180="Human",Q180&lt;&gt;"Y"),"Confirm it stays Human, or redesign it so it is easier to check and score again.",IF(AND(R180="Agent",S180&lt;&gt;"Y"),"Write the agent job description before it goes live.",IF(T180="","Name an owner.",IF(U180="","Set a review date.","Ready.")))))))</f>
        <v/>
      </c>
    </row>
    <row r="181" ht="15" customHeight="1" s="41">
      <c r="A181" s="57">
        <f>IF(Taxonomy!A181="","",Taxonomy!A181)</f>
        <v/>
      </c>
      <c r="B181" s="57">
        <f>IF(Taxonomy!E181="","",Taxonomy!E181)</f>
        <v/>
      </c>
      <c r="C181" s="58">
        <f>IF(Taxonomy!J181="","",Taxonomy!J181)</f>
        <v/>
      </c>
      <c r="D181" s="57">
        <f>IF(Taxonomy!S181="","",Taxonomy!S181)</f>
        <v/>
      </c>
      <c r="E181" s="59" t="n"/>
      <c r="F181" s="60" t="n"/>
      <c r="G181" s="60" t="n"/>
      <c r="H181" s="60" t="n"/>
      <c r="I181" s="60" t="n"/>
      <c r="J181" s="60" t="n"/>
      <c r="K181" s="61">
        <f>IF(OR(B181="",D181="Cut"),"",IF(COUNTA(F181:J181)&lt;5,"Answer all 5",IF(COUNTIF(F181:J181,"Y")&gt;0,"High","Low")))</f>
        <v/>
      </c>
      <c r="L181" s="60" t="n"/>
      <c r="M181" s="60" t="n"/>
      <c r="N181" s="60" t="n"/>
      <c r="O181" s="60" t="n"/>
      <c r="P181" s="61">
        <f>IF(OR(B181="",D181="Cut"),"",IF(COUNTA(L181:O181)&lt;4,"Answer all 4",IF(COUNTIF(L181:O181,"Y")&gt;0,"Hard","Easy")))</f>
        <v/>
      </c>
      <c r="Q181" s="60" t="n"/>
      <c r="R181" s="61">
        <f>IF(B181="","",IF(D181="Cut","Cut",IF(Q181="Y","Human",IF(OR(K181="Answer all 5",P181="Answer all 4"),"Score it",IF(K181="High",IF(P181="Hard","Human","Assist"),IF(P181="Hard","Agent","Automate"))))))</f>
        <v/>
      </c>
      <c r="S181" s="60" t="n"/>
      <c r="T181" s="59" t="n"/>
      <c r="U181" s="62" t="n"/>
      <c r="V181" s="57">
        <f>IF(B181="","",IF(R181="Cut","Stop doing this task.",IF(R181="Score it","Answer all nine questions.",IF(AND(R181="Human",Q181&lt;&gt;"Y"),"Confirm it stays Human, or redesign it so it is easier to check and score again.",IF(AND(R181="Agent",S181&lt;&gt;"Y"),"Write the agent job description before it goes live.",IF(T181="","Name an owner.",IF(U181="","Set a review date.","Ready.")))))))</f>
        <v/>
      </c>
    </row>
    <row r="182" ht="15" customHeight="1" s="41">
      <c r="A182" s="57">
        <f>IF(Taxonomy!A182="","",Taxonomy!A182)</f>
        <v/>
      </c>
      <c r="B182" s="57">
        <f>IF(Taxonomy!E182="","",Taxonomy!E182)</f>
        <v/>
      </c>
      <c r="C182" s="58">
        <f>IF(Taxonomy!J182="","",Taxonomy!J182)</f>
        <v/>
      </c>
      <c r="D182" s="57">
        <f>IF(Taxonomy!S182="","",Taxonomy!S182)</f>
        <v/>
      </c>
      <c r="E182" s="59" t="n"/>
      <c r="F182" s="60" t="n"/>
      <c r="G182" s="60" t="n"/>
      <c r="H182" s="60" t="n"/>
      <c r="I182" s="60" t="n"/>
      <c r="J182" s="60" t="n"/>
      <c r="K182" s="61">
        <f>IF(OR(B182="",D182="Cut"),"",IF(COUNTA(F182:J182)&lt;5,"Answer all 5",IF(COUNTIF(F182:J182,"Y")&gt;0,"High","Low")))</f>
        <v/>
      </c>
      <c r="L182" s="60" t="n"/>
      <c r="M182" s="60" t="n"/>
      <c r="N182" s="60" t="n"/>
      <c r="O182" s="60" t="n"/>
      <c r="P182" s="61">
        <f>IF(OR(B182="",D182="Cut"),"",IF(COUNTA(L182:O182)&lt;4,"Answer all 4",IF(COUNTIF(L182:O182,"Y")&gt;0,"Hard","Easy")))</f>
        <v/>
      </c>
      <c r="Q182" s="60" t="n"/>
      <c r="R182" s="61">
        <f>IF(B182="","",IF(D182="Cut","Cut",IF(Q182="Y","Human",IF(OR(K182="Answer all 5",P182="Answer all 4"),"Score it",IF(K182="High",IF(P182="Hard","Human","Assist"),IF(P182="Hard","Agent","Automate"))))))</f>
        <v/>
      </c>
      <c r="S182" s="60" t="n"/>
      <c r="T182" s="59" t="n"/>
      <c r="U182" s="62" t="n"/>
      <c r="V182" s="57">
        <f>IF(B182="","",IF(R182="Cut","Stop doing this task.",IF(R182="Score it","Answer all nine questions.",IF(AND(R182="Human",Q182&lt;&gt;"Y"),"Confirm it stays Human, or redesign it so it is easier to check and score again.",IF(AND(R182="Agent",S182&lt;&gt;"Y"),"Write the agent job description before it goes live.",IF(T182="","Name an owner.",IF(U182="","Set a review date.","Ready.")))))))</f>
        <v/>
      </c>
    </row>
    <row r="183" ht="15" customHeight="1" s="41">
      <c r="A183" s="57">
        <f>IF(Taxonomy!A183="","",Taxonomy!A183)</f>
        <v/>
      </c>
      <c r="B183" s="57">
        <f>IF(Taxonomy!E183="","",Taxonomy!E183)</f>
        <v/>
      </c>
      <c r="C183" s="58">
        <f>IF(Taxonomy!J183="","",Taxonomy!J183)</f>
        <v/>
      </c>
      <c r="D183" s="57">
        <f>IF(Taxonomy!S183="","",Taxonomy!S183)</f>
        <v/>
      </c>
      <c r="E183" s="59" t="n"/>
      <c r="F183" s="60" t="n"/>
      <c r="G183" s="60" t="n"/>
      <c r="H183" s="60" t="n"/>
      <c r="I183" s="60" t="n"/>
      <c r="J183" s="60" t="n"/>
      <c r="K183" s="61">
        <f>IF(OR(B183="",D183="Cut"),"",IF(COUNTA(F183:J183)&lt;5,"Answer all 5",IF(COUNTIF(F183:J183,"Y")&gt;0,"High","Low")))</f>
        <v/>
      </c>
      <c r="L183" s="60" t="n"/>
      <c r="M183" s="60" t="n"/>
      <c r="N183" s="60" t="n"/>
      <c r="O183" s="60" t="n"/>
      <c r="P183" s="61">
        <f>IF(OR(B183="",D183="Cut"),"",IF(COUNTA(L183:O183)&lt;4,"Answer all 4",IF(COUNTIF(L183:O183,"Y")&gt;0,"Hard","Easy")))</f>
        <v/>
      </c>
      <c r="Q183" s="60" t="n"/>
      <c r="R183" s="61">
        <f>IF(B183="","",IF(D183="Cut","Cut",IF(Q183="Y","Human",IF(OR(K183="Answer all 5",P183="Answer all 4"),"Score it",IF(K183="High",IF(P183="Hard","Human","Assist"),IF(P183="Hard","Agent","Automate"))))))</f>
        <v/>
      </c>
      <c r="S183" s="60" t="n"/>
      <c r="T183" s="59" t="n"/>
      <c r="U183" s="62" t="n"/>
      <c r="V183" s="57">
        <f>IF(B183="","",IF(R183="Cut","Stop doing this task.",IF(R183="Score it","Answer all nine questions.",IF(AND(R183="Human",Q183&lt;&gt;"Y"),"Confirm it stays Human, or redesign it so it is easier to check and score again.",IF(AND(R183="Agent",S183&lt;&gt;"Y"),"Write the agent job description before it goes live.",IF(T183="","Name an owner.",IF(U183="","Set a review date.","Ready.")))))))</f>
        <v/>
      </c>
    </row>
    <row r="184" ht="15" customHeight="1" s="41">
      <c r="A184" s="57">
        <f>IF(Taxonomy!A184="","",Taxonomy!A184)</f>
        <v/>
      </c>
      <c r="B184" s="57">
        <f>IF(Taxonomy!E184="","",Taxonomy!E184)</f>
        <v/>
      </c>
      <c r="C184" s="58">
        <f>IF(Taxonomy!J184="","",Taxonomy!J184)</f>
        <v/>
      </c>
      <c r="D184" s="57">
        <f>IF(Taxonomy!S184="","",Taxonomy!S184)</f>
        <v/>
      </c>
      <c r="E184" s="59" t="n"/>
      <c r="F184" s="60" t="n"/>
      <c r="G184" s="60" t="n"/>
      <c r="H184" s="60" t="n"/>
      <c r="I184" s="60" t="n"/>
      <c r="J184" s="60" t="n"/>
      <c r="K184" s="61">
        <f>IF(OR(B184="",D184="Cut"),"",IF(COUNTA(F184:J184)&lt;5,"Answer all 5",IF(COUNTIF(F184:J184,"Y")&gt;0,"High","Low")))</f>
        <v/>
      </c>
      <c r="L184" s="60" t="n"/>
      <c r="M184" s="60" t="n"/>
      <c r="N184" s="60" t="n"/>
      <c r="O184" s="60" t="n"/>
      <c r="P184" s="61">
        <f>IF(OR(B184="",D184="Cut"),"",IF(COUNTA(L184:O184)&lt;4,"Answer all 4",IF(COUNTIF(L184:O184,"Y")&gt;0,"Hard","Easy")))</f>
        <v/>
      </c>
      <c r="Q184" s="60" t="n"/>
      <c r="R184" s="61">
        <f>IF(B184="","",IF(D184="Cut","Cut",IF(Q184="Y","Human",IF(OR(K184="Answer all 5",P184="Answer all 4"),"Score it",IF(K184="High",IF(P184="Hard","Human","Assist"),IF(P184="Hard","Agent","Automate"))))))</f>
        <v/>
      </c>
      <c r="S184" s="60" t="n"/>
      <c r="T184" s="59" t="n"/>
      <c r="U184" s="62" t="n"/>
      <c r="V184" s="57">
        <f>IF(B184="","",IF(R184="Cut","Stop doing this task.",IF(R184="Score it","Answer all nine questions.",IF(AND(R184="Human",Q184&lt;&gt;"Y"),"Confirm it stays Human, or redesign it so it is easier to check and score again.",IF(AND(R184="Agent",S184&lt;&gt;"Y"),"Write the agent job description before it goes live.",IF(T184="","Name an owner.",IF(U184="","Set a review date.","Ready.")))))))</f>
        <v/>
      </c>
    </row>
    <row r="185" ht="15" customHeight="1" s="41">
      <c r="A185" s="57">
        <f>IF(Taxonomy!A185="","",Taxonomy!A185)</f>
        <v/>
      </c>
      <c r="B185" s="57">
        <f>IF(Taxonomy!E185="","",Taxonomy!E185)</f>
        <v/>
      </c>
      <c r="C185" s="58">
        <f>IF(Taxonomy!J185="","",Taxonomy!J185)</f>
        <v/>
      </c>
      <c r="D185" s="57">
        <f>IF(Taxonomy!S185="","",Taxonomy!S185)</f>
        <v/>
      </c>
      <c r="E185" s="59" t="n"/>
      <c r="F185" s="60" t="n"/>
      <c r="G185" s="60" t="n"/>
      <c r="H185" s="60" t="n"/>
      <c r="I185" s="60" t="n"/>
      <c r="J185" s="60" t="n"/>
      <c r="K185" s="61">
        <f>IF(OR(B185="",D185="Cut"),"",IF(COUNTA(F185:J185)&lt;5,"Answer all 5",IF(COUNTIF(F185:J185,"Y")&gt;0,"High","Low")))</f>
        <v/>
      </c>
      <c r="L185" s="60" t="n"/>
      <c r="M185" s="60" t="n"/>
      <c r="N185" s="60" t="n"/>
      <c r="O185" s="60" t="n"/>
      <c r="P185" s="61">
        <f>IF(OR(B185="",D185="Cut"),"",IF(COUNTA(L185:O185)&lt;4,"Answer all 4",IF(COUNTIF(L185:O185,"Y")&gt;0,"Hard","Easy")))</f>
        <v/>
      </c>
      <c r="Q185" s="60" t="n"/>
      <c r="R185" s="61">
        <f>IF(B185="","",IF(D185="Cut","Cut",IF(Q185="Y","Human",IF(OR(K185="Answer all 5",P185="Answer all 4"),"Score it",IF(K185="High",IF(P185="Hard","Human","Assist"),IF(P185="Hard","Agent","Automate"))))))</f>
        <v/>
      </c>
      <c r="S185" s="60" t="n"/>
      <c r="T185" s="59" t="n"/>
      <c r="U185" s="62" t="n"/>
      <c r="V185" s="57">
        <f>IF(B185="","",IF(R185="Cut","Stop doing this task.",IF(R185="Score it","Answer all nine questions.",IF(AND(R185="Human",Q185&lt;&gt;"Y"),"Confirm it stays Human, or redesign it so it is easier to check and score again.",IF(AND(R185="Agent",S185&lt;&gt;"Y"),"Write the agent job description before it goes live.",IF(T185="","Name an owner.",IF(U185="","Set a review date.","Ready.")))))))</f>
        <v/>
      </c>
    </row>
    <row r="186" ht="15" customHeight="1" s="41">
      <c r="A186" s="57">
        <f>IF(Taxonomy!A186="","",Taxonomy!A186)</f>
        <v/>
      </c>
      <c r="B186" s="57">
        <f>IF(Taxonomy!E186="","",Taxonomy!E186)</f>
        <v/>
      </c>
      <c r="C186" s="58">
        <f>IF(Taxonomy!J186="","",Taxonomy!J186)</f>
        <v/>
      </c>
      <c r="D186" s="57">
        <f>IF(Taxonomy!S186="","",Taxonomy!S186)</f>
        <v/>
      </c>
      <c r="E186" s="59" t="n"/>
      <c r="F186" s="60" t="n"/>
      <c r="G186" s="60" t="n"/>
      <c r="H186" s="60" t="n"/>
      <c r="I186" s="60" t="n"/>
      <c r="J186" s="60" t="n"/>
      <c r="K186" s="61">
        <f>IF(OR(B186="",D186="Cut"),"",IF(COUNTA(F186:J186)&lt;5,"Answer all 5",IF(COUNTIF(F186:J186,"Y")&gt;0,"High","Low")))</f>
        <v/>
      </c>
      <c r="L186" s="60" t="n"/>
      <c r="M186" s="60" t="n"/>
      <c r="N186" s="60" t="n"/>
      <c r="O186" s="60" t="n"/>
      <c r="P186" s="61">
        <f>IF(OR(B186="",D186="Cut"),"",IF(COUNTA(L186:O186)&lt;4,"Answer all 4",IF(COUNTIF(L186:O186,"Y")&gt;0,"Hard","Easy")))</f>
        <v/>
      </c>
      <c r="Q186" s="60" t="n"/>
      <c r="R186" s="61">
        <f>IF(B186="","",IF(D186="Cut","Cut",IF(Q186="Y","Human",IF(OR(K186="Answer all 5",P186="Answer all 4"),"Score it",IF(K186="High",IF(P186="Hard","Human","Assist"),IF(P186="Hard","Agent","Automate"))))))</f>
        <v/>
      </c>
      <c r="S186" s="60" t="n"/>
      <c r="T186" s="59" t="n"/>
      <c r="U186" s="62" t="n"/>
      <c r="V186" s="57">
        <f>IF(B186="","",IF(R186="Cut","Stop doing this task.",IF(R186="Score it","Answer all nine questions.",IF(AND(R186="Human",Q186&lt;&gt;"Y"),"Confirm it stays Human, or redesign it so it is easier to check and score again.",IF(AND(R186="Agent",S186&lt;&gt;"Y"),"Write the agent job description before it goes live.",IF(T186="","Name an owner.",IF(U186="","Set a review date.","Ready.")))))))</f>
        <v/>
      </c>
    </row>
    <row r="187" ht="15" customHeight="1" s="41">
      <c r="A187" s="57">
        <f>IF(Taxonomy!A187="","",Taxonomy!A187)</f>
        <v/>
      </c>
      <c r="B187" s="57">
        <f>IF(Taxonomy!E187="","",Taxonomy!E187)</f>
        <v/>
      </c>
      <c r="C187" s="58">
        <f>IF(Taxonomy!J187="","",Taxonomy!J187)</f>
        <v/>
      </c>
      <c r="D187" s="57">
        <f>IF(Taxonomy!S187="","",Taxonomy!S187)</f>
        <v/>
      </c>
      <c r="E187" s="59" t="n"/>
      <c r="F187" s="60" t="n"/>
      <c r="G187" s="60" t="n"/>
      <c r="H187" s="60" t="n"/>
      <c r="I187" s="60" t="n"/>
      <c r="J187" s="60" t="n"/>
      <c r="K187" s="61">
        <f>IF(OR(B187="",D187="Cut"),"",IF(COUNTA(F187:J187)&lt;5,"Answer all 5",IF(COUNTIF(F187:J187,"Y")&gt;0,"High","Low")))</f>
        <v/>
      </c>
      <c r="L187" s="60" t="n"/>
      <c r="M187" s="60" t="n"/>
      <c r="N187" s="60" t="n"/>
      <c r="O187" s="60" t="n"/>
      <c r="P187" s="61">
        <f>IF(OR(B187="",D187="Cut"),"",IF(COUNTA(L187:O187)&lt;4,"Answer all 4",IF(COUNTIF(L187:O187,"Y")&gt;0,"Hard","Easy")))</f>
        <v/>
      </c>
      <c r="Q187" s="60" t="n"/>
      <c r="R187" s="61">
        <f>IF(B187="","",IF(D187="Cut","Cut",IF(Q187="Y","Human",IF(OR(K187="Answer all 5",P187="Answer all 4"),"Score it",IF(K187="High",IF(P187="Hard","Human","Assist"),IF(P187="Hard","Agent","Automate"))))))</f>
        <v/>
      </c>
      <c r="S187" s="60" t="n"/>
      <c r="T187" s="59" t="n"/>
      <c r="U187" s="62" t="n"/>
      <c r="V187" s="57">
        <f>IF(B187="","",IF(R187="Cut","Stop doing this task.",IF(R187="Score it","Answer all nine questions.",IF(AND(R187="Human",Q187&lt;&gt;"Y"),"Confirm it stays Human, or redesign it so it is easier to check and score again.",IF(AND(R187="Agent",S187&lt;&gt;"Y"),"Write the agent job description before it goes live.",IF(T187="","Name an owner.",IF(U187="","Set a review date.","Ready.")))))))</f>
        <v/>
      </c>
    </row>
    <row r="188" ht="15" customHeight="1" s="41">
      <c r="A188" s="57">
        <f>IF(Taxonomy!A188="","",Taxonomy!A188)</f>
        <v/>
      </c>
      <c r="B188" s="57">
        <f>IF(Taxonomy!E188="","",Taxonomy!E188)</f>
        <v/>
      </c>
      <c r="C188" s="58">
        <f>IF(Taxonomy!J188="","",Taxonomy!J188)</f>
        <v/>
      </c>
      <c r="D188" s="57">
        <f>IF(Taxonomy!S188="","",Taxonomy!S188)</f>
        <v/>
      </c>
      <c r="E188" s="59" t="n"/>
      <c r="F188" s="60" t="n"/>
      <c r="G188" s="60" t="n"/>
      <c r="H188" s="60" t="n"/>
      <c r="I188" s="60" t="n"/>
      <c r="J188" s="60" t="n"/>
      <c r="K188" s="61">
        <f>IF(OR(B188="",D188="Cut"),"",IF(COUNTA(F188:J188)&lt;5,"Answer all 5",IF(COUNTIF(F188:J188,"Y")&gt;0,"High","Low")))</f>
        <v/>
      </c>
      <c r="L188" s="60" t="n"/>
      <c r="M188" s="60" t="n"/>
      <c r="N188" s="60" t="n"/>
      <c r="O188" s="60" t="n"/>
      <c r="P188" s="61">
        <f>IF(OR(B188="",D188="Cut"),"",IF(COUNTA(L188:O188)&lt;4,"Answer all 4",IF(COUNTIF(L188:O188,"Y")&gt;0,"Hard","Easy")))</f>
        <v/>
      </c>
      <c r="Q188" s="60" t="n"/>
      <c r="R188" s="61">
        <f>IF(B188="","",IF(D188="Cut","Cut",IF(Q188="Y","Human",IF(OR(K188="Answer all 5",P188="Answer all 4"),"Score it",IF(K188="High",IF(P188="Hard","Human","Assist"),IF(P188="Hard","Agent","Automate"))))))</f>
        <v/>
      </c>
      <c r="S188" s="60" t="n"/>
      <c r="T188" s="59" t="n"/>
      <c r="U188" s="62" t="n"/>
      <c r="V188" s="57">
        <f>IF(B188="","",IF(R188="Cut","Stop doing this task.",IF(R188="Score it","Answer all nine questions.",IF(AND(R188="Human",Q188&lt;&gt;"Y"),"Confirm it stays Human, or redesign it so it is easier to check and score again.",IF(AND(R188="Agent",S188&lt;&gt;"Y"),"Write the agent job description before it goes live.",IF(T188="","Name an owner.",IF(U188="","Set a review date.","Ready.")))))))</f>
        <v/>
      </c>
    </row>
    <row r="189" ht="15" customHeight="1" s="41">
      <c r="A189" s="57">
        <f>IF(Taxonomy!A189="","",Taxonomy!A189)</f>
        <v/>
      </c>
      <c r="B189" s="57">
        <f>IF(Taxonomy!E189="","",Taxonomy!E189)</f>
        <v/>
      </c>
      <c r="C189" s="58">
        <f>IF(Taxonomy!J189="","",Taxonomy!J189)</f>
        <v/>
      </c>
      <c r="D189" s="57">
        <f>IF(Taxonomy!S189="","",Taxonomy!S189)</f>
        <v/>
      </c>
      <c r="E189" s="59" t="n"/>
      <c r="F189" s="60" t="n"/>
      <c r="G189" s="60" t="n"/>
      <c r="H189" s="60" t="n"/>
      <c r="I189" s="60" t="n"/>
      <c r="J189" s="60" t="n"/>
      <c r="K189" s="61">
        <f>IF(OR(B189="",D189="Cut"),"",IF(COUNTA(F189:J189)&lt;5,"Answer all 5",IF(COUNTIF(F189:J189,"Y")&gt;0,"High","Low")))</f>
        <v/>
      </c>
      <c r="L189" s="60" t="n"/>
      <c r="M189" s="60" t="n"/>
      <c r="N189" s="60" t="n"/>
      <c r="O189" s="60" t="n"/>
      <c r="P189" s="61">
        <f>IF(OR(B189="",D189="Cut"),"",IF(COUNTA(L189:O189)&lt;4,"Answer all 4",IF(COUNTIF(L189:O189,"Y")&gt;0,"Hard","Easy")))</f>
        <v/>
      </c>
      <c r="Q189" s="60" t="n"/>
      <c r="R189" s="61">
        <f>IF(B189="","",IF(D189="Cut","Cut",IF(Q189="Y","Human",IF(OR(K189="Answer all 5",P189="Answer all 4"),"Score it",IF(K189="High",IF(P189="Hard","Human","Assist"),IF(P189="Hard","Agent","Automate"))))))</f>
        <v/>
      </c>
      <c r="S189" s="60" t="n"/>
      <c r="T189" s="59" t="n"/>
      <c r="U189" s="62" t="n"/>
      <c r="V189" s="57">
        <f>IF(B189="","",IF(R189="Cut","Stop doing this task.",IF(R189="Score it","Answer all nine questions.",IF(AND(R189="Human",Q189&lt;&gt;"Y"),"Confirm it stays Human, or redesign it so it is easier to check and score again.",IF(AND(R189="Agent",S189&lt;&gt;"Y"),"Write the agent job description before it goes live.",IF(T189="","Name an owner.",IF(U189="","Set a review date.","Ready.")))))))</f>
        <v/>
      </c>
    </row>
    <row r="190" ht="15" customHeight="1" s="41">
      <c r="A190" s="57">
        <f>IF(Taxonomy!A190="","",Taxonomy!A190)</f>
        <v/>
      </c>
      <c r="B190" s="57">
        <f>IF(Taxonomy!E190="","",Taxonomy!E190)</f>
        <v/>
      </c>
      <c r="C190" s="58">
        <f>IF(Taxonomy!J190="","",Taxonomy!J190)</f>
        <v/>
      </c>
      <c r="D190" s="57">
        <f>IF(Taxonomy!S190="","",Taxonomy!S190)</f>
        <v/>
      </c>
      <c r="E190" s="59" t="n"/>
      <c r="F190" s="60" t="n"/>
      <c r="G190" s="60" t="n"/>
      <c r="H190" s="60" t="n"/>
      <c r="I190" s="60" t="n"/>
      <c r="J190" s="60" t="n"/>
      <c r="K190" s="61">
        <f>IF(OR(B190="",D190="Cut"),"",IF(COUNTA(F190:J190)&lt;5,"Answer all 5",IF(COUNTIF(F190:J190,"Y")&gt;0,"High","Low")))</f>
        <v/>
      </c>
      <c r="L190" s="60" t="n"/>
      <c r="M190" s="60" t="n"/>
      <c r="N190" s="60" t="n"/>
      <c r="O190" s="60" t="n"/>
      <c r="P190" s="61">
        <f>IF(OR(B190="",D190="Cut"),"",IF(COUNTA(L190:O190)&lt;4,"Answer all 4",IF(COUNTIF(L190:O190,"Y")&gt;0,"Hard","Easy")))</f>
        <v/>
      </c>
      <c r="Q190" s="60" t="n"/>
      <c r="R190" s="61">
        <f>IF(B190="","",IF(D190="Cut","Cut",IF(Q190="Y","Human",IF(OR(K190="Answer all 5",P190="Answer all 4"),"Score it",IF(K190="High",IF(P190="Hard","Human","Assist"),IF(P190="Hard","Agent","Automate"))))))</f>
        <v/>
      </c>
      <c r="S190" s="60" t="n"/>
      <c r="T190" s="59" t="n"/>
      <c r="U190" s="62" t="n"/>
      <c r="V190" s="57">
        <f>IF(B190="","",IF(R190="Cut","Stop doing this task.",IF(R190="Score it","Answer all nine questions.",IF(AND(R190="Human",Q190&lt;&gt;"Y"),"Confirm it stays Human, or redesign it so it is easier to check and score again.",IF(AND(R190="Agent",S190&lt;&gt;"Y"),"Write the agent job description before it goes live.",IF(T190="","Name an owner.",IF(U190="","Set a review date.","Ready.")))))))</f>
        <v/>
      </c>
    </row>
    <row r="191" ht="15" customHeight="1" s="41">
      <c r="A191" s="57">
        <f>IF(Taxonomy!A191="","",Taxonomy!A191)</f>
        <v/>
      </c>
      <c r="B191" s="57">
        <f>IF(Taxonomy!E191="","",Taxonomy!E191)</f>
        <v/>
      </c>
      <c r="C191" s="58">
        <f>IF(Taxonomy!J191="","",Taxonomy!J191)</f>
        <v/>
      </c>
      <c r="D191" s="57">
        <f>IF(Taxonomy!S191="","",Taxonomy!S191)</f>
        <v/>
      </c>
      <c r="E191" s="59" t="n"/>
      <c r="F191" s="60" t="n"/>
      <c r="G191" s="60" t="n"/>
      <c r="H191" s="60" t="n"/>
      <c r="I191" s="60" t="n"/>
      <c r="J191" s="60" t="n"/>
      <c r="K191" s="61">
        <f>IF(OR(B191="",D191="Cut"),"",IF(COUNTA(F191:J191)&lt;5,"Answer all 5",IF(COUNTIF(F191:J191,"Y")&gt;0,"High","Low")))</f>
        <v/>
      </c>
      <c r="L191" s="60" t="n"/>
      <c r="M191" s="60" t="n"/>
      <c r="N191" s="60" t="n"/>
      <c r="O191" s="60" t="n"/>
      <c r="P191" s="61">
        <f>IF(OR(B191="",D191="Cut"),"",IF(COUNTA(L191:O191)&lt;4,"Answer all 4",IF(COUNTIF(L191:O191,"Y")&gt;0,"Hard","Easy")))</f>
        <v/>
      </c>
      <c r="Q191" s="60" t="n"/>
      <c r="R191" s="61">
        <f>IF(B191="","",IF(D191="Cut","Cut",IF(Q191="Y","Human",IF(OR(K191="Answer all 5",P191="Answer all 4"),"Score it",IF(K191="High",IF(P191="Hard","Human","Assist"),IF(P191="Hard","Agent","Automate"))))))</f>
        <v/>
      </c>
      <c r="S191" s="60" t="n"/>
      <c r="T191" s="59" t="n"/>
      <c r="U191" s="62" t="n"/>
      <c r="V191" s="57">
        <f>IF(B191="","",IF(R191="Cut","Stop doing this task.",IF(R191="Score it","Answer all nine questions.",IF(AND(R191="Human",Q191&lt;&gt;"Y"),"Confirm it stays Human, or redesign it so it is easier to check and score again.",IF(AND(R191="Agent",S191&lt;&gt;"Y"),"Write the agent job description before it goes live.",IF(T191="","Name an owner.",IF(U191="","Set a review date.","Ready.")))))))</f>
        <v/>
      </c>
    </row>
    <row r="192" ht="15" customHeight="1" s="41">
      <c r="A192" s="57">
        <f>IF(Taxonomy!A192="","",Taxonomy!A192)</f>
        <v/>
      </c>
      <c r="B192" s="57">
        <f>IF(Taxonomy!E192="","",Taxonomy!E192)</f>
        <v/>
      </c>
      <c r="C192" s="58">
        <f>IF(Taxonomy!J192="","",Taxonomy!J192)</f>
        <v/>
      </c>
      <c r="D192" s="57">
        <f>IF(Taxonomy!S192="","",Taxonomy!S192)</f>
        <v/>
      </c>
      <c r="E192" s="59" t="n"/>
      <c r="F192" s="60" t="n"/>
      <c r="G192" s="60" t="n"/>
      <c r="H192" s="60" t="n"/>
      <c r="I192" s="60" t="n"/>
      <c r="J192" s="60" t="n"/>
      <c r="K192" s="61">
        <f>IF(OR(B192="",D192="Cut"),"",IF(COUNTA(F192:J192)&lt;5,"Answer all 5",IF(COUNTIF(F192:J192,"Y")&gt;0,"High","Low")))</f>
        <v/>
      </c>
      <c r="L192" s="60" t="n"/>
      <c r="M192" s="60" t="n"/>
      <c r="N192" s="60" t="n"/>
      <c r="O192" s="60" t="n"/>
      <c r="P192" s="61">
        <f>IF(OR(B192="",D192="Cut"),"",IF(COUNTA(L192:O192)&lt;4,"Answer all 4",IF(COUNTIF(L192:O192,"Y")&gt;0,"Hard","Easy")))</f>
        <v/>
      </c>
      <c r="Q192" s="60" t="n"/>
      <c r="R192" s="61">
        <f>IF(B192="","",IF(D192="Cut","Cut",IF(Q192="Y","Human",IF(OR(K192="Answer all 5",P192="Answer all 4"),"Score it",IF(K192="High",IF(P192="Hard","Human","Assist"),IF(P192="Hard","Agent","Automate"))))))</f>
        <v/>
      </c>
      <c r="S192" s="60" t="n"/>
      <c r="T192" s="59" t="n"/>
      <c r="U192" s="62" t="n"/>
      <c r="V192" s="57">
        <f>IF(B192="","",IF(R192="Cut","Stop doing this task.",IF(R192="Score it","Answer all nine questions.",IF(AND(R192="Human",Q192&lt;&gt;"Y"),"Confirm it stays Human, or redesign it so it is easier to check and score again.",IF(AND(R192="Agent",S192&lt;&gt;"Y"),"Write the agent job description before it goes live.",IF(T192="","Name an owner.",IF(U192="","Set a review date.","Ready.")))))))</f>
        <v/>
      </c>
    </row>
    <row r="193" ht="15" customHeight="1" s="41">
      <c r="A193" s="57">
        <f>IF(Taxonomy!A193="","",Taxonomy!A193)</f>
        <v/>
      </c>
      <c r="B193" s="57">
        <f>IF(Taxonomy!E193="","",Taxonomy!E193)</f>
        <v/>
      </c>
      <c r="C193" s="58">
        <f>IF(Taxonomy!J193="","",Taxonomy!J193)</f>
        <v/>
      </c>
      <c r="D193" s="57">
        <f>IF(Taxonomy!S193="","",Taxonomy!S193)</f>
        <v/>
      </c>
      <c r="E193" s="59" t="n"/>
      <c r="F193" s="60" t="n"/>
      <c r="G193" s="60" t="n"/>
      <c r="H193" s="60" t="n"/>
      <c r="I193" s="60" t="n"/>
      <c r="J193" s="60" t="n"/>
      <c r="K193" s="61">
        <f>IF(OR(B193="",D193="Cut"),"",IF(COUNTA(F193:J193)&lt;5,"Answer all 5",IF(COUNTIF(F193:J193,"Y")&gt;0,"High","Low")))</f>
        <v/>
      </c>
      <c r="L193" s="60" t="n"/>
      <c r="M193" s="60" t="n"/>
      <c r="N193" s="60" t="n"/>
      <c r="O193" s="60" t="n"/>
      <c r="P193" s="61">
        <f>IF(OR(B193="",D193="Cut"),"",IF(COUNTA(L193:O193)&lt;4,"Answer all 4",IF(COUNTIF(L193:O193,"Y")&gt;0,"Hard","Easy")))</f>
        <v/>
      </c>
      <c r="Q193" s="60" t="n"/>
      <c r="R193" s="61">
        <f>IF(B193="","",IF(D193="Cut","Cut",IF(Q193="Y","Human",IF(OR(K193="Answer all 5",P193="Answer all 4"),"Score it",IF(K193="High",IF(P193="Hard","Human","Assist"),IF(P193="Hard","Agent","Automate"))))))</f>
        <v/>
      </c>
      <c r="S193" s="60" t="n"/>
      <c r="T193" s="59" t="n"/>
      <c r="U193" s="62" t="n"/>
      <c r="V193" s="57">
        <f>IF(B193="","",IF(R193="Cut","Stop doing this task.",IF(R193="Score it","Answer all nine questions.",IF(AND(R193="Human",Q193&lt;&gt;"Y"),"Confirm it stays Human, or redesign it so it is easier to check and score again.",IF(AND(R193="Agent",S193&lt;&gt;"Y"),"Write the agent job description before it goes live.",IF(T193="","Name an owner.",IF(U193="","Set a review date.","Ready.")))))))</f>
        <v/>
      </c>
    </row>
    <row r="194" ht="15" customHeight="1" s="41">
      <c r="A194" s="57">
        <f>IF(Taxonomy!A194="","",Taxonomy!A194)</f>
        <v/>
      </c>
      <c r="B194" s="57">
        <f>IF(Taxonomy!E194="","",Taxonomy!E194)</f>
        <v/>
      </c>
      <c r="C194" s="58">
        <f>IF(Taxonomy!J194="","",Taxonomy!J194)</f>
        <v/>
      </c>
      <c r="D194" s="57">
        <f>IF(Taxonomy!S194="","",Taxonomy!S194)</f>
        <v/>
      </c>
      <c r="E194" s="59" t="n"/>
      <c r="F194" s="60" t="n"/>
      <c r="G194" s="60" t="n"/>
      <c r="H194" s="60" t="n"/>
      <c r="I194" s="60" t="n"/>
      <c r="J194" s="60" t="n"/>
      <c r="K194" s="61">
        <f>IF(OR(B194="",D194="Cut"),"",IF(COUNTA(F194:J194)&lt;5,"Answer all 5",IF(COUNTIF(F194:J194,"Y")&gt;0,"High","Low")))</f>
        <v/>
      </c>
      <c r="L194" s="60" t="n"/>
      <c r="M194" s="60" t="n"/>
      <c r="N194" s="60" t="n"/>
      <c r="O194" s="60" t="n"/>
      <c r="P194" s="61">
        <f>IF(OR(B194="",D194="Cut"),"",IF(COUNTA(L194:O194)&lt;4,"Answer all 4",IF(COUNTIF(L194:O194,"Y")&gt;0,"Hard","Easy")))</f>
        <v/>
      </c>
      <c r="Q194" s="60" t="n"/>
      <c r="R194" s="61">
        <f>IF(B194="","",IF(D194="Cut","Cut",IF(Q194="Y","Human",IF(OR(K194="Answer all 5",P194="Answer all 4"),"Score it",IF(K194="High",IF(P194="Hard","Human","Assist"),IF(P194="Hard","Agent","Automate"))))))</f>
        <v/>
      </c>
      <c r="S194" s="60" t="n"/>
      <c r="T194" s="59" t="n"/>
      <c r="U194" s="62" t="n"/>
      <c r="V194" s="57">
        <f>IF(B194="","",IF(R194="Cut","Stop doing this task.",IF(R194="Score it","Answer all nine questions.",IF(AND(R194="Human",Q194&lt;&gt;"Y"),"Confirm it stays Human, or redesign it so it is easier to check and score again.",IF(AND(R194="Agent",S194&lt;&gt;"Y"),"Write the agent job description before it goes live.",IF(T194="","Name an owner.",IF(U194="","Set a review date.","Ready.")))))))</f>
        <v/>
      </c>
    </row>
    <row r="195" ht="15" customHeight="1" s="41">
      <c r="A195" s="57">
        <f>IF(Taxonomy!A195="","",Taxonomy!A195)</f>
        <v/>
      </c>
      <c r="B195" s="57">
        <f>IF(Taxonomy!E195="","",Taxonomy!E195)</f>
        <v/>
      </c>
      <c r="C195" s="58">
        <f>IF(Taxonomy!J195="","",Taxonomy!J195)</f>
        <v/>
      </c>
      <c r="D195" s="57">
        <f>IF(Taxonomy!S195="","",Taxonomy!S195)</f>
        <v/>
      </c>
      <c r="E195" s="59" t="n"/>
      <c r="F195" s="60" t="n"/>
      <c r="G195" s="60" t="n"/>
      <c r="H195" s="60" t="n"/>
      <c r="I195" s="60" t="n"/>
      <c r="J195" s="60" t="n"/>
      <c r="K195" s="61">
        <f>IF(OR(B195="",D195="Cut"),"",IF(COUNTA(F195:J195)&lt;5,"Answer all 5",IF(COUNTIF(F195:J195,"Y")&gt;0,"High","Low")))</f>
        <v/>
      </c>
      <c r="L195" s="60" t="n"/>
      <c r="M195" s="60" t="n"/>
      <c r="N195" s="60" t="n"/>
      <c r="O195" s="60" t="n"/>
      <c r="P195" s="61">
        <f>IF(OR(B195="",D195="Cut"),"",IF(COUNTA(L195:O195)&lt;4,"Answer all 4",IF(COUNTIF(L195:O195,"Y")&gt;0,"Hard","Easy")))</f>
        <v/>
      </c>
      <c r="Q195" s="60" t="n"/>
      <c r="R195" s="61">
        <f>IF(B195="","",IF(D195="Cut","Cut",IF(Q195="Y","Human",IF(OR(K195="Answer all 5",P195="Answer all 4"),"Score it",IF(K195="High",IF(P195="Hard","Human","Assist"),IF(P195="Hard","Agent","Automate"))))))</f>
        <v/>
      </c>
      <c r="S195" s="60" t="n"/>
      <c r="T195" s="59" t="n"/>
      <c r="U195" s="62" t="n"/>
      <c r="V195" s="57">
        <f>IF(B195="","",IF(R195="Cut","Stop doing this task.",IF(R195="Score it","Answer all nine questions.",IF(AND(R195="Human",Q195&lt;&gt;"Y"),"Confirm it stays Human, or redesign it so it is easier to check and score again.",IF(AND(R195="Agent",S195&lt;&gt;"Y"),"Write the agent job description before it goes live.",IF(T195="","Name an owner.",IF(U195="","Set a review date.","Ready.")))))))</f>
        <v/>
      </c>
    </row>
    <row r="196" ht="15" customHeight="1" s="41">
      <c r="A196" s="57">
        <f>IF(Taxonomy!A196="","",Taxonomy!A196)</f>
        <v/>
      </c>
      <c r="B196" s="57">
        <f>IF(Taxonomy!E196="","",Taxonomy!E196)</f>
        <v/>
      </c>
      <c r="C196" s="58">
        <f>IF(Taxonomy!J196="","",Taxonomy!J196)</f>
        <v/>
      </c>
      <c r="D196" s="57">
        <f>IF(Taxonomy!S196="","",Taxonomy!S196)</f>
        <v/>
      </c>
      <c r="E196" s="59" t="n"/>
      <c r="F196" s="60" t="n"/>
      <c r="G196" s="60" t="n"/>
      <c r="H196" s="60" t="n"/>
      <c r="I196" s="60" t="n"/>
      <c r="J196" s="60" t="n"/>
      <c r="K196" s="61">
        <f>IF(OR(B196="",D196="Cut"),"",IF(COUNTA(F196:J196)&lt;5,"Answer all 5",IF(COUNTIF(F196:J196,"Y")&gt;0,"High","Low")))</f>
        <v/>
      </c>
      <c r="L196" s="60" t="n"/>
      <c r="M196" s="60" t="n"/>
      <c r="N196" s="60" t="n"/>
      <c r="O196" s="60" t="n"/>
      <c r="P196" s="61">
        <f>IF(OR(B196="",D196="Cut"),"",IF(COUNTA(L196:O196)&lt;4,"Answer all 4",IF(COUNTIF(L196:O196,"Y")&gt;0,"Hard","Easy")))</f>
        <v/>
      </c>
      <c r="Q196" s="60" t="n"/>
      <c r="R196" s="61">
        <f>IF(B196="","",IF(D196="Cut","Cut",IF(Q196="Y","Human",IF(OR(K196="Answer all 5",P196="Answer all 4"),"Score it",IF(K196="High",IF(P196="Hard","Human","Assist"),IF(P196="Hard","Agent","Automate"))))))</f>
        <v/>
      </c>
      <c r="S196" s="60" t="n"/>
      <c r="T196" s="59" t="n"/>
      <c r="U196" s="62" t="n"/>
      <c r="V196" s="57">
        <f>IF(B196="","",IF(R196="Cut","Stop doing this task.",IF(R196="Score it","Answer all nine questions.",IF(AND(R196="Human",Q196&lt;&gt;"Y"),"Confirm it stays Human, or redesign it so it is easier to check and score again.",IF(AND(R196="Agent",S196&lt;&gt;"Y"),"Write the agent job description before it goes live.",IF(T196="","Name an owner.",IF(U196="","Set a review date.","Ready.")))))))</f>
        <v/>
      </c>
    </row>
    <row r="197" ht="15" customHeight="1" s="41">
      <c r="A197" s="57">
        <f>IF(Taxonomy!A197="","",Taxonomy!A197)</f>
        <v/>
      </c>
      <c r="B197" s="57">
        <f>IF(Taxonomy!E197="","",Taxonomy!E197)</f>
        <v/>
      </c>
      <c r="C197" s="58">
        <f>IF(Taxonomy!J197="","",Taxonomy!J197)</f>
        <v/>
      </c>
      <c r="D197" s="57">
        <f>IF(Taxonomy!S197="","",Taxonomy!S197)</f>
        <v/>
      </c>
      <c r="E197" s="59" t="n"/>
      <c r="F197" s="60" t="n"/>
      <c r="G197" s="60" t="n"/>
      <c r="H197" s="60" t="n"/>
      <c r="I197" s="60" t="n"/>
      <c r="J197" s="60" t="n"/>
      <c r="K197" s="61">
        <f>IF(OR(B197="",D197="Cut"),"",IF(COUNTA(F197:J197)&lt;5,"Answer all 5",IF(COUNTIF(F197:J197,"Y")&gt;0,"High","Low")))</f>
        <v/>
      </c>
      <c r="L197" s="60" t="n"/>
      <c r="M197" s="60" t="n"/>
      <c r="N197" s="60" t="n"/>
      <c r="O197" s="60" t="n"/>
      <c r="P197" s="61">
        <f>IF(OR(B197="",D197="Cut"),"",IF(COUNTA(L197:O197)&lt;4,"Answer all 4",IF(COUNTIF(L197:O197,"Y")&gt;0,"Hard","Easy")))</f>
        <v/>
      </c>
      <c r="Q197" s="60" t="n"/>
      <c r="R197" s="61">
        <f>IF(B197="","",IF(D197="Cut","Cut",IF(Q197="Y","Human",IF(OR(K197="Answer all 5",P197="Answer all 4"),"Score it",IF(K197="High",IF(P197="Hard","Human","Assist"),IF(P197="Hard","Agent","Automate"))))))</f>
        <v/>
      </c>
      <c r="S197" s="60" t="n"/>
      <c r="T197" s="59" t="n"/>
      <c r="U197" s="62" t="n"/>
      <c r="V197" s="57">
        <f>IF(B197="","",IF(R197="Cut","Stop doing this task.",IF(R197="Score it","Answer all nine questions.",IF(AND(R197="Human",Q197&lt;&gt;"Y"),"Confirm it stays Human, or redesign it so it is easier to check and score again.",IF(AND(R197="Agent",S197&lt;&gt;"Y"),"Write the agent job description before it goes live.",IF(T197="","Name an owner.",IF(U197="","Set a review date.","Ready.")))))))</f>
        <v/>
      </c>
    </row>
    <row r="198" ht="15" customHeight="1" s="41">
      <c r="A198" s="57">
        <f>IF(Taxonomy!A198="","",Taxonomy!A198)</f>
        <v/>
      </c>
      <c r="B198" s="57">
        <f>IF(Taxonomy!E198="","",Taxonomy!E198)</f>
        <v/>
      </c>
      <c r="C198" s="58">
        <f>IF(Taxonomy!J198="","",Taxonomy!J198)</f>
        <v/>
      </c>
      <c r="D198" s="57">
        <f>IF(Taxonomy!S198="","",Taxonomy!S198)</f>
        <v/>
      </c>
      <c r="E198" s="59" t="n"/>
      <c r="F198" s="60" t="n"/>
      <c r="G198" s="60" t="n"/>
      <c r="H198" s="60" t="n"/>
      <c r="I198" s="60" t="n"/>
      <c r="J198" s="60" t="n"/>
      <c r="K198" s="61">
        <f>IF(OR(B198="",D198="Cut"),"",IF(COUNTA(F198:J198)&lt;5,"Answer all 5",IF(COUNTIF(F198:J198,"Y")&gt;0,"High","Low")))</f>
        <v/>
      </c>
      <c r="L198" s="60" t="n"/>
      <c r="M198" s="60" t="n"/>
      <c r="N198" s="60" t="n"/>
      <c r="O198" s="60" t="n"/>
      <c r="P198" s="61">
        <f>IF(OR(B198="",D198="Cut"),"",IF(COUNTA(L198:O198)&lt;4,"Answer all 4",IF(COUNTIF(L198:O198,"Y")&gt;0,"Hard","Easy")))</f>
        <v/>
      </c>
      <c r="Q198" s="60" t="n"/>
      <c r="R198" s="61">
        <f>IF(B198="","",IF(D198="Cut","Cut",IF(Q198="Y","Human",IF(OR(K198="Answer all 5",P198="Answer all 4"),"Score it",IF(K198="High",IF(P198="Hard","Human","Assist"),IF(P198="Hard","Agent","Automate"))))))</f>
        <v/>
      </c>
      <c r="S198" s="60" t="n"/>
      <c r="T198" s="59" t="n"/>
      <c r="U198" s="62" t="n"/>
      <c r="V198" s="57">
        <f>IF(B198="","",IF(R198="Cut","Stop doing this task.",IF(R198="Score it","Answer all nine questions.",IF(AND(R198="Human",Q198&lt;&gt;"Y"),"Confirm it stays Human, or redesign it so it is easier to check and score again.",IF(AND(R198="Agent",S198&lt;&gt;"Y"),"Write the agent job description before it goes live.",IF(T198="","Name an owner.",IF(U198="","Set a review date.","Ready.")))))))</f>
        <v/>
      </c>
    </row>
    <row r="199" ht="15" customHeight="1" s="41">
      <c r="A199" s="57">
        <f>IF(Taxonomy!A199="","",Taxonomy!A199)</f>
        <v/>
      </c>
      <c r="B199" s="57">
        <f>IF(Taxonomy!E199="","",Taxonomy!E199)</f>
        <v/>
      </c>
      <c r="C199" s="58">
        <f>IF(Taxonomy!J199="","",Taxonomy!J199)</f>
        <v/>
      </c>
      <c r="D199" s="57">
        <f>IF(Taxonomy!S199="","",Taxonomy!S199)</f>
        <v/>
      </c>
      <c r="E199" s="59" t="n"/>
      <c r="F199" s="60" t="n"/>
      <c r="G199" s="60" t="n"/>
      <c r="H199" s="60" t="n"/>
      <c r="I199" s="60" t="n"/>
      <c r="J199" s="60" t="n"/>
      <c r="K199" s="61">
        <f>IF(OR(B199="",D199="Cut"),"",IF(COUNTA(F199:J199)&lt;5,"Answer all 5",IF(COUNTIF(F199:J199,"Y")&gt;0,"High","Low")))</f>
        <v/>
      </c>
      <c r="L199" s="60" t="n"/>
      <c r="M199" s="60" t="n"/>
      <c r="N199" s="60" t="n"/>
      <c r="O199" s="60" t="n"/>
      <c r="P199" s="61">
        <f>IF(OR(B199="",D199="Cut"),"",IF(COUNTA(L199:O199)&lt;4,"Answer all 4",IF(COUNTIF(L199:O199,"Y")&gt;0,"Hard","Easy")))</f>
        <v/>
      </c>
      <c r="Q199" s="60" t="n"/>
      <c r="R199" s="61">
        <f>IF(B199="","",IF(D199="Cut","Cut",IF(Q199="Y","Human",IF(OR(K199="Answer all 5",P199="Answer all 4"),"Score it",IF(K199="High",IF(P199="Hard","Human","Assist"),IF(P199="Hard","Agent","Automate"))))))</f>
        <v/>
      </c>
      <c r="S199" s="60" t="n"/>
      <c r="T199" s="59" t="n"/>
      <c r="U199" s="62" t="n"/>
      <c r="V199" s="57">
        <f>IF(B199="","",IF(R199="Cut","Stop doing this task.",IF(R199="Score it","Answer all nine questions.",IF(AND(R199="Human",Q199&lt;&gt;"Y"),"Confirm it stays Human, or redesign it so it is easier to check and score again.",IF(AND(R199="Agent",S199&lt;&gt;"Y"),"Write the agent job description before it goes live.",IF(T199="","Name an owner.",IF(U199="","Set a review date.","Ready.")))))))</f>
        <v/>
      </c>
    </row>
    <row r="200" ht="15" customHeight="1" s="41">
      <c r="A200" s="57">
        <f>IF(Taxonomy!A200="","",Taxonomy!A200)</f>
        <v/>
      </c>
      <c r="B200" s="57">
        <f>IF(Taxonomy!E200="","",Taxonomy!E200)</f>
        <v/>
      </c>
      <c r="C200" s="58">
        <f>IF(Taxonomy!J200="","",Taxonomy!J200)</f>
        <v/>
      </c>
      <c r="D200" s="57">
        <f>IF(Taxonomy!S200="","",Taxonomy!S200)</f>
        <v/>
      </c>
      <c r="E200" s="59" t="n"/>
      <c r="F200" s="60" t="n"/>
      <c r="G200" s="60" t="n"/>
      <c r="H200" s="60" t="n"/>
      <c r="I200" s="60" t="n"/>
      <c r="J200" s="60" t="n"/>
      <c r="K200" s="61">
        <f>IF(OR(B200="",D200="Cut"),"",IF(COUNTA(F200:J200)&lt;5,"Answer all 5",IF(COUNTIF(F200:J200,"Y")&gt;0,"High","Low")))</f>
        <v/>
      </c>
      <c r="L200" s="60" t="n"/>
      <c r="M200" s="60" t="n"/>
      <c r="N200" s="60" t="n"/>
      <c r="O200" s="60" t="n"/>
      <c r="P200" s="61">
        <f>IF(OR(B200="",D200="Cut"),"",IF(COUNTA(L200:O200)&lt;4,"Answer all 4",IF(COUNTIF(L200:O200,"Y")&gt;0,"Hard","Easy")))</f>
        <v/>
      </c>
      <c r="Q200" s="60" t="n"/>
      <c r="R200" s="61">
        <f>IF(B200="","",IF(D200="Cut","Cut",IF(Q200="Y","Human",IF(OR(K200="Answer all 5",P200="Answer all 4"),"Score it",IF(K200="High",IF(P200="Hard","Human","Assist"),IF(P200="Hard","Agent","Automate"))))))</f>
        <v/>
      </c>
      <c r="S200" s="60" t="n"/>
      <c r="T200" s="59" t="n"/>
      <c r="U200" s="62" t="n"/>
      <c r="V200" s="57">
        <f>IF(B200="","",IF(R200="Cut","Stop doing this task.",IF(R200="Score it","Answer all nine questions.",IF(AND(R200="Human",Q200&lt;&gt;"Y"),"Confirm it stays Human, or redesign it so it is easier to check and score again.",IF(AND(R200="Agent",S200&lt;&gt;"Y"),"Write the agent job description before it goes live.",IF(T200="","Name an owner.",IF(U200="","Set a review date.","Ready.")))))))</f>
        <v/>
      </c>
    </row>
    <row r="201" ht="15" customHeight="1" s="41">
      <c r="A201" s="57">
        <f>IF(Taxonomy!A201="","",Taxonomy!A201)</f>
        <v/>
      </c>
      <c r="B201" s="57">
        <f>IF(Taxonomy!E201="","",Taxonomy!E201)</f>
        <v/>
      </c>
      <c r="C201" s="58">
        <f>IF(Taxonomy!J201="","",Taxonomy!J201)</f>
        <v/>
      </c>
      <c r="D201" s="57">
        <f>IF(Taxonomy!S201="","",Taxonomy!S201)</f>
        <v/>
      </c>
      <c r="E201" s="59" t="n"/>
      <c r="F201" s="60" t="n"/>
      <c r="G201" s="60" t="n"/>
      <c r="H201" s="60" t="n"/>
      <c r="I201" s="60" t="n"/>
      <c r="J201" s="60" t="n"/>
      <c r="K201" s="61">
        <f>IF(OR(B201="",D201="Cut"),"",IF(COUNTA(F201:J201)&lt;5,"Answer all 5",IF(COUNTIF(F201:J201,"Y")&gt;0,"High","Low")))</f>
        <v/>
      </c>
      <c r="L201" s="60" t="n"/>
      <c r="M201" s="60" t="n"/>
      <c r="N201" s="60" t="n"/>
      <c r="O201" s="60" t="n"/>
      <c r="P201" s="61">
        <f>IF(OR(B201="",D201="Cut"),"",IF(COUNTA(L201:O201)&lt;4,"Answer all 4",IF(COUNTIF(L201:O201,"Y")&gt;0,"Hard","Easy")))</f>
        <v/>
      </c>
      <c r="Q201" s="60" t="n"/>
      <c r="R201" s="61">
        <f>IF(B201="","",IF(D201="Cut","Cut",IF(Q201="Y","Human",IF(OR(K201="Answer all 5",P201="Answer all 4"),"Score it",IF(K201="High",IF(P201="Hard","Human","Assist"),IF(P201="Hard","Agent","Automate"))))))</f>
        <v/>
      </c>
      <c r="S201" s="60" t="n"/>
      <c r="T201" s="59" t="n"/>
      <c r="U201" s="62" t="n"/>
      <c r="V201" s="57">
        <f>IF(B201="","",IF(R201="Cut","Stop doing this task.",IF(R201="Score it","Answer all nine questions.",IF(AND(R201="Human",Q201&lt;&gt;"Y"),"Confirm it stays Human, or redesign it so it is easier to check and score again.",IF(AND(R201="Agent",S201&lt;&gt;"Y"),"Write the agent job description before it goes live.",IF(T201="","Name an owner.",IF(U201="","Set a review date.","Ready.")))))))</f>
        <v/>
      </c>
    </row>
    <row r="202" ht="15" customHeight="1" s="41">
      <c r="A202" s="57">
        <f>IF(Taxonomy!A202="","",Taxonomy!A202)</f>
        <v/>
      </c>
      <c r="B202" s="57">
        <f>IF(Taxonomy!E202="","",Taxonomy!E202)</f>
        <v/>
      </c>
      <c r="C202" s="58">
        <f>IF(Taxonomy!J202="","",Taxonomy!J202)</f>
        <v/>
      </c>
      <c r="D202" s="57">
        <f>IF(Taxonomy!S202="","",Taxonomy!S202)</f>
        <v/>
      </c>
      <c r="E202" s="59" t="n"/>
      <c r="F202" s="60" t="n"/>
      <c r="G202" s="60" t="n"/>
      <c r="H202" s="60" t="n"/>
      <c r="I202" s="60" t="n"/>
      <c r="J202" s="60" t="n"/>
      <c r="K202" s="61">
        <f>IF(OR(B202="",D202="Cut"),"",IF(COUNTA(F202:J202)&lt;5,"Answer all 5",IF(COUNTIF(F202:J202,"Y")&gt;0,"High","Low")))</f>
        <v/>
      </c>
      <c r="L202" s="60" t="n"/>
      <c r="M202" s="60" t="n"/>
      <c r="N202" s="60" t="n"/>
      <c r="O202" s="60" t="n"/>
      <c r="P202" s="61">
        <f>IF(OR(B202="",D202="Cut"),"",IF(COUNTA(L202:O202)&lt;4,"Answer all 4",IF(COUNTIF(L202:O202,"Y")&gt;0,"Hard","Easy")))</f>
        <v/>
      </c>
      <c r="Q202" s="60" t="n"/>
      <c r="R202" s="61">
        <f>IF(B202="","",IF(D202="Cut","Cut",IF(Q202="Y","Human",IF(OR(K202="Answer all 5",P202="Answer all 4"),"Score it",IF(K202="High",IF(P202="Hard","Human","Assist"),IF(P202="Hard","Agent","Automate"))))))</f>
        <v/>
      </c>
      <c r="S202" s="60" t="n"/>
      <c r="T202" s="59" t="n"/>
      <c r="U202" s="62" t="n"/>
      <c r="V202" s="57">
        <f>IF(B202="","",IF(R202="Cut","Stop doing this task.",IF(R202="Score it","Answer all nine questions.",IF(AND(R202="Human",Q202&lt;&gt;"Y"),"Confirm it stays Human, or redesign it so it is easier to check and score again.",IF(AND(R202="Agent",S202&lt;&gt;"Y"),"Write the agent job description before it goes live.",IF(T202="","Name an owner.",IF(U202="","Set a review date.","Ready.")))))))</f>
        <v/>
      </c>
    </row>
    <row r="203" ht="15" customHeight="1" s="41">
      <c r="A203" s="57">
        <f>IF(Taxonomy!A203="","",Taxonomy!A203)</f>
        <v/>
      </c>
      <c r="B203" s="57">
        <f>IF(Taxonomy!E203="","",Taxonomy!E203)</f>
        <v/>
      </c>
      <c r="C203" s="58">
        <f>IF(Taxonomy!J203="","",Taxonomy!J203)</f>
        <v/>
      </c>
      <c r="D203" s="57">
        <f>IF(Taxonomy!S203="","",Taxonomy!S203)</f>
        <v/>
      </c>
      <c r="E203" s="59" t="n"/>
      <c r="F203" s="60" t="n"/>
      <c r="G203" s="60" t="n"/>
      <c r="H203" s="60" t="n"/>
      <c r="I203" s="60" t="n"/>
      <c r="J203" s="60" t="n"/>
      <c r="K203" s="61">
        <f>IF(OR(B203="",D203="Cut"),"",IF(COUNTA(F203:J203)&lt;5,"Answer all 5",IF(COUNTIF(F203:J203,"Y")&gt;0,"High","Low")))</f>
        <v/>
      </c>
      <c r="L203" s="60" t="n"/>
      <c r="M203" s="60" t="n"/>
      <c r="N203" s="60" t="n"/>
      <c r="O203" s="60" t="n"/>
      <c r="P203" s="61">
        <f>IF(OR(B203="",D203="Cut"),"",IF(COUNTA(L203:O203)&lt;4,"Answer all 4",IF(COUNTIF(L203:O203,"Y")&gt;0,"Hard","Easy")))</f>
        <v/>
      </c>
      <c r="Q203" s="60" t="n"/>
      <c r="R203" s="61">
        <f>IF(B203="","",IF(D203="Cut","Cut",IF(Q203="Y","Human",IF(OR(K203="Answer all 5",P203="Answer all 4"),"Score it",IF(K203="High",IF(P203="Hard","Human","Assist"),IF(P203="Hard","Agent","Automate"))))))</f>
        <v/>
      </c>
      <c r="S203" s="60" t="n"/>
      <c r="T203" s="59" t="n"/>
      <c r="U203" s="62" t="n"/>
      <c r="V203" s="57">
        <f>IF(B203="","",IF(R203="Cut","Stop doing this task.",IF(R203="Score it","Answer all nine questions.",IF(AND(R203="Human",Q203&lt;&gt;"Y"),"Confirm it stays Human, or redesign it so it is easier to check and score again.",IF(AND(R203="Agent",S203&lt;&gt;"Y"),"Write the agent job description before it goes live.",IF(T203="","Name an owner.",IF(U203="","Set a review date.","Ready.")))))))</f>
        <v/>
      </c>
    </row>
    <row r="204" ht="15" customHeight="1" s="41">
      <c r="A204" s="57">
        <f>IF(Taxonomy!A204="","",Taxonomy!A204)</f>
        <v/>
      </c>
      <c r="B204" s="57">
        <f>IF(Taxonomy!E204="","",Taxonomy!E204)</f>
        <v/>
      </c>
      <c r="C204" s="58">
        <f>IF(Taxonomy!J204="","",Taxonomy!J204)</f>
        <v/>
      </c>
      <c r="D204" s="57">
        <f>IF(Taxonomy!S204="","",Taxonomy!S204)</f>
        <v/>
      </c>
      <c r="E204" s="59" t="n"/>
      <c r="F204" s="60" t="n"/>
      <c r="G204" s="60" t="n"/>
      <c r="H204" s="60" t="n"/>
      <c r="I204" s="60" t="n"/>
      <c r="J204" s="60" t="n"/>
      <c r="K204" s="61">
        <f>IF(OR(B204="",D204="Cut"),"",IF(COUNTA(F204:J204)&lt;5,"Answer all 5",IF(COUNTIF(F204:J204,"Y")&gt;0,"High","Low")))</f>
        <v/>
      </c>
      <c r="L204" s="60" t="n"/>
      <c r="M204" s="60" t="n"/>
      <c r="N204" s="60" t="n"/>
      <c r="O204" s="60" t="n"/>
      <c r="P204" s="61">
        <f>IF(OR(B204="",D204="Cut"),"",IF(COUNTA(L204:O204)&lt;4,"Answer all 4",IF(COUNTIF(L204:O204,"Y")&gt;0,"Hard","Easy")))</f>
        <v/>
      </c>
      <c r="Q204" s="60" t="n"/>
      <c r="R204" s="61">
        <f>IF(B204="","",IF(D204="Cut","Cut",IF(Q204="Y","Human",IF(OR(K204="Answer all 5",P204="Answer all 4"),"Score it",IF(K204="High",IF(P204="Hard","Human","Assist"),IF(P204="Hard","Agent","Automate"))))))</f>
        <v/>
      </c>
      <c r="S204" s="60" t="n"/>
      <c r="T204" s="59" t="n"/>
      <c r="U204" s="62" t="n"/>
      <c r="V204" s="57">
        <f>IF(B204="","",IF(R204="Cut","Stop doing this task.",IF(R204="Score it","Answer all nine questions.",IF(AND(R204="Human",Q204&lt;&gt;"Y"),"Confirm it stays Human, or redesign it so it is easier to check and score again.",IF(AND(R204="Agent",S204&lt;&gt;"Y"),"Write the agent job description before it goes live.",IF(T204="","Name an owner.",IF(U204="","Set a review date.","Ready.")))))))</f>
        <v/>
      </c>
    </row>
  </sheetData>
  <conditionalFormatting sqref="R5:R204">
    <cfRule type="expression" rank="0" priority="2" equalAverage="0" aboveAverage="0" dxfId="1" text="" percent="0" bottom="0">
      <formula>R5="Human"</formula>
    </cfRule>
    <cfRule type="expression" rank="0" priority="3" equalAverage="0" aboveAverage="0" dxfId="2" text="" percent="0" bottom="0">
      <formula>R5="Assist"</formula>
    </cfRule>
    <cfRule type="expression" rank="0" priority="4" equalAverage="0" aboveAverage="0" dxfId="3" text="" percent="0" bottom="0">
      <formula>R5="Automate"</formula>
    </cfRule>
    <cfRule type="expression" rank="0" priority="5" equalAverage="0" aboveAverage="0" dxfId="4" text="" percent="0" bottom="0">
      <formula>R5="Agent"</formula>
    </cfRule>
    <cfRule type="expression" rank="0" priority="6" equalAverage="0" aboveAverage="0" dxfId="5" text="" percent="0" bottom="0">
      <formula>R5="Cut"</formula>
    </cfRule>
    <cfRule type="expression" rank="0" priority="7" equalAverage="0" aboveAverage="0" dxfId="6" text="" percent="0" bottom="0">
      <formula>R5="Score it"</formula>
    </cfRule>
  </conditionalFormatting>
  <conditionalFormatting sqref="K5:K204">
    <cfRule type="expression" rank="0" priority="8" equalAverage="0" aboveAverage="0" dxfId="0" text="" percent="0" bottom="0">
      <formula>K5="High"</formula>
    </cfRule>
  </conditionalFormatting>
  <conditionalFormatting sqref="P5:P204">
    <cfRule type="expression" rank="0" priority="9" equalAverage="0" aboveAverage="0" dxfId="0" text="" percent="0" bottom="0">
      <formula>P5="Hard"</formula>
    </cfRule>
  </conditionalFormatting>
  <dataValidations count="1">
    <dataValidation sqref="F5:J204 L5:O204 Q5:Q204 S5:S204"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
  <pageSetup orientation="landscape" paperSize="1" scale="100" fitToHeight="0" fitToWidth="1" pageOrder="downThenOver" blackAndWhite="0" draft="0" horizontalDpi="300" verticalDpi="300" copies="1"/>
  <headerFooter differentOddEven="0" differentFirst="0">
    <oddHeader/>
    <oddFooter>&amp;L&amp;8 OnTheGrow Leadership | Work Taxonomy&amp;C&amp;8 © 2026 Elizabeth A. Corey. All rights reserved.&amp;R&amp;8 Page &amp;P of &amp;N</oddFooter>
    <evenHeader/>
    <evenFooter/>
    <firstHeader/>
    <firstFooter/>
  </headerFooter>
</worksheet>
</file>

<file path=xl/worksheets/sheet4.xml><?xml version="1.0" encoding="utf-8"?>
<worksheet xmlns="http://schemas.openxmlformats.org/spreadsheetml/2006/main">
  <sheetPr filterMode="0">
    <tabColor rgb="FF39989E"/>
    <outlinePr summaryBelow="1" summaryRight="1"/>
    <pageSetUpPr fitToPage="1"/>
  </sheetPr>
  <dimension ref="A1:E3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0" min="1" max="1"/>
    <col width="34" customWidth="1" style="40" min="2" max="2"/>
    <col width="16" customWidth="1" style="40" min="3" max="5"/>
  </cols>
  <sheetData>
    <row r="1" ht="19.7" customHeight="1" s="41">
      <c r="B1" s="49" t="inlineStr">
        <is>
          <t>Summary: Where the Hours Go</t>
        </is>
      </c>
    </row>
    <row r="2" ht="15" customHeight="1" s="41">
      <c r="B2" s="50" t="inlineStr">
        <is>
          <t>HOW TO USE THIS TAB: Enter your hourly cost in the yellow cell and type your process names below. Everything else calculates from the Taxonomy and Work Assignment tabs.</t>
        </is>
      </c>
    </row>
    <row r="3" ht="15" customHeight="1" s="41">
      <c r="B3" s="51" t="inlineStr">
        <is>
          <t>© 2026 Elizabeth A. Corey. All rights reserved. GROWTH Execution Model™. onthegrow.ai</t>
        </is>
      </c>
    </row>
    <row r="4" ht="15" customHeight="1" s="41">
      <c r="B4" s="63" t="inlineStr">
        <is>
          <t>SETTINGS</t>
        </is>
      </c>
      <c r="C4" s="52" t="inlineStr">
        <is>
          <t>Value</t>
        </is>
      </c>
    </row>
    <row r="5" ht="15" customHeight="1" s="41">
      <c r="B5" s="64" t="inlineStr">
        <is>
          <t>Used to calculate cost per month on every task.</t>
        </is>
      </c>
    </row>
    <row r="6" ht="36" customHeight="1" s="41">
      <c r="B6" s="65" t="inlineStr">
        <is>
          <t>Average fully loaded cost per hour ($)</t>
        </is>
      </c>
      <c r="C6" s="66" t="n">
        <v>45</v>
      </c>
      <c r="D6" s="67" t="inlineStr">
        <is>
          <t>Example value. Replace with your own fully loaded hourly cost (pay, benefits, overhead).</t>
        </is>
      </c>
    </row>
    <row r="7"/>
    <row r="8" ht="15" customHeight="1" s="41">
      <c r="B8" s="63" t="inlineStr">
        <is>
          <t>THE HEADLINE</t>
        </is>
      </c>
      <c r="C8" s="52" t="inlineStr">
        <is>
          <t>Value</t>
        </is>
      </c>
    </row>
    <row r="9" ht="15" customHeight="1" s="41">
      <c r="B9" s="68" t="inlineStr">
        <is>
          <t>Tasks mapped</t>
        </is>
      </c>
      <c r="C9" s="69">
        <f>COUNTIF(Taxonomy!E5:E204,"?*")</f>
        <v/>
      </c>
    </row>
    <row r="10" ht="15" customHeight="1" s="41">
      <c r="B10" s="68" t="inlineStr">
        <is>
          <t>Hours per month</t>
        </is>
      </c>
      <c r="C10" s="70">
        <f>SUM(Taxonomy!J5:J204)</f>
        <v/>
      </c>
    </row>
    <row r="11" ht="15" customHeight="1" s="41">
      <c r="B11" s="68" t="inlineStr">
        <is>
          <t>Cost per month</t>
        </is>
      </c>
      <c r="C11" s="71">
        <f>SUM(Taxonomy!K5:K204)</f>
        <v/>
      </c>
    </row>
    <row r="12" ht="15" customHeight="1" s="41">
      <c r="B12" s="68" t="inlineStr">
        <is>
          <t>Hours per month in tasks marked Cut</t>
        </is>
      </c>
      <c r="C12" s="70">
        <f>SUMIF(Taxonomy!S5:S204,"Cut",Taxonomy!J5:J204)</f>
        <v/>
      </c>
    </row>
    <row r="13" ht="15" customHeight="1" s="41">
      <c r="B13" s="68" t="inlineStr">
        <is>
          <t>Share of hours that should stop</t>
        </is>
      </c>
      <c r="C13" s="72">
        <f>IF(C10=0,0,C12/C10)</f>
        <v/>
      </c>
    </row>
    <row r="14" ht="15" customHeight="1" s="41">
      <c r="B14" s="68" t="inlineStr">
        <is>
          <t>Hours per month in tasks marked Simplify</t>
        </is>
      </c>
      <c r="C14" s="70">
        <f>SUMIF(Taxonomy!S5:S204,"Simplify",Taxonomy!J5:J204)</f>
        <v/>
      </c>
    </row>
    <row r="15"/>
    <row r="16" ht="15" customHeight="1" s="41">
      <c r="B16" s="63" t="inlineStr">
        <is>
          <t>BY BOX</t>
        </is>
      </c>
      <c r="C16" s="52" t="inlineStr">
        <is>
          <t>Tasks</t>
        </is>
      </c>
      <c r="D16" s="52" t="inlineStr">
        <is>
          <t>Hours per month</t>
        </is>
      </c>
      <c r="E16" s="52" t="inlineStr">
        <is>
          <t>Share of hours</t>
        </is>
      </c>
    </row>
    <row r="17" ht="15" customHeight="1" s="41">
      <c r="B17" s="73" t="inlineStr">
        <is>
          <t>Human</t>
        </is>
      </c>
      <c r="C17" s="74">
        <f>COUNTIF('Work Assignment'!$R$5:$R$204,B17)</f>
        <v/>
      </c>
      <c r="D17" s="75">
        <f>SUMIF('Work Assignment'!$R$5:$R$204,B17,'Work Assignment'!$C$5:$C$204)</f>
        <v/>
      </c>
      <c r="E17" s="76">
        <f>IF($C$10=0,0,D17/$C$10)</f>
        <v/>
      </c>
    </row>
    <row r="18" ht="15" customHeight="1" s="41">
      <c r="B18" s="73" t="inlineStr">
        <is>
          <t>Assist</t>
        </is>
      </c>
      <c r="C18" s="74">
        <f>COUNTIF('Work Assignment'!$R$5:$R$204,B18)</f>
        <v/>
      </c>
      <c r="D18" s="75">
        <f>SUMIF('Work Assignment'!$R$5:$R$204,B18,'Work Assignment'!$C$5:$C$204)</f>
        <v/>
      </c>
      <c r="E18" s="76">
        <f>IF($C$10=0,0,D18/$C$10)</f>
        <v/>
      </c>
    </row>
    <row r="19" ht="15" customHeight="1" s="41">
      <c r="B19" s="73" t="inlineStr">
        <is>
          <t>Automate</t>
        </is>
      </c>
      <c r="C19" s="74">
        <f>COUNTIF('Work Assignment'!$R$5:$R$204,B19)</f>
        <v/>
      </c>
      <c r="D19" s="75">
        <f>SUMIF('Work Assignment'!$R$5:$R$204,B19,'Work Assignment'!$C$5:$C$204)</f>
        <v/>
      </c>
      <c r="E19" s="76">
        <f>IF($C$10=0,0,D19/$C$10)</f>
        <v/>
      </c>
    </row>
    <row r="20" ht="15" customHeight="1" s="41">
      <c r="B20" s="73" t="inlineStr">
        <is>
          <t>Agent</t>
        </is>
      </c>
      <c r="C20" s="74">
        <f>COUNTIF('Work Assignment'!$R$5:$R$204,B20)</f>
        <v/>
      </c>
      <c r="D20" s="75">
        <f>SUMIF('Work Assignment'!$R$5:$R$204,B20,'Work Assignment'!$C$5:$C$204)</f>
        <v/>
      </c>
      <c r="E20" s="76">
        <f>IF($C$10=0,0,D20/$C$10)</f>
        <v/>
      </c>
    </row>
    <row r="21" ht="15" customHeight="1" s="41">
      <c r="B21" s="73" t="inlineStr">
        <is>
          <t>Cut</t>
        </is>
      </c>
      <c r="C21" s="74">
        <f>COUNTIF('Work Assignment'!$R$5:$R$204,B21)</f>
        <v/>
      </c>
      <c r="D21" s="75">
        <f>SUMIF('Work Assignment'!$R$5:$R$204,B21,'Work Assignment'!$C$5:$C$204)</f>
        <v/>
      </c>
      <c r="E21" s="76">
        <f>IF($C$10=0,0,D21/$C$10)</f>
        <v/>
      </c>
    </row>
    <row r="22" ht="15" customHeight="1" s="41">
      <c r="B22" s="73" t="inlineStr">
        <is>
          <t>Score it</t>
        </is>
      </c>
      <c r="C22" s="74">
        <f>COUNTIF('Work Assignment'!$R$5:$R$204,B22)</f>
        <v/>
      </c>
      <c r="D22" s="75">
        <f>SUMIF('Work Assignment'!$R$5:$R$204,B22,'Work Assignment'!$C$5:$C$204)</f>
        <v/>
      </c>
      <c r="E22" s="76">
        <f>IF($C$10=0,0,D22/$C$10)</f>
        <v/>
      </c>
    </row>
    <row r="23"/>
    <row r="24" ht="15" customHeight="1" s="41">
      <c r="B24" s="63" t="inlineStr">
        <is>
          <t>BY PROCESS (type process names)</t>
        </is>
      </c>
      <c r="C24" s="52" t="inlineStr">
        <is>
          <t>Hours per month</t>
        </is>
      </c>
      <c r="D24" s="52" t="inlineStr">
        <is>
          <t>Cost per month</t>
        </is>
      </c>
    </row>
    <row r="25" ht="15" customHeight="1" s="41">
      <c r="B25" s="77" t="inlineStr">
        <is>
          <t>Recruiting</t>
        </is>
      </c>
      <c r="C25" s="75">
        <f>IF(B25="","",SUMIF(Taxonomy!$C$5:$C$204,B25,Taxonomy!$J$5:$J$204))</f>
        <v/>
      </c>
      <c r="D25" s="78">
        <f>IF(B25="","",SUMIF(Taxonomy!$C$5:$C$204,B25,Taxonomy!$K$5:$K$204))</f>
        <v/>
      </c>
    </row>
    <row r="26" ht="15" customHeight="1" s="41">
      <c r="B26" s="77" t="n"/>
      <c r="C26" s="75">
        <f>IF(B26="","",SUMIF(Taxonomy!$C$5:$C$204,B26,Taxonomy!$J$5:$J$204))</f>
        <v/>
      </c>
      <c r="D26" s="78">
        <f>IF(B26="","",SUMIF(Taxonomy!$C$5:$C$204,B26,Taxonomy!$K$5:$K$204))</f>
        <v/>
      </c>
    </row>
    <row r="27" ht="15" customHeight="1" s="41">
      <c r="B27" s="77" t="n"/>
      <c r="C27" s="75">
        <f>IF(B27="","",SUMIF(Taxonomy!$C$5:$C$204,B27,Taxonomy!$J$5:$J$204))</f>
        <v/>
      </c>
      <c r="D27" s="78">
        <f>IF(B27="","",SUMIF(Taxonomy!$C$5:$C$204,B27,Taxonomy!$K$5:$K$204))</f>
        <v/>
      </c>
    </row>
    <row r="28" ht="15" customHeight="1" s="41">
      <c r="B28" s="77" t="n"/>
      <c r="C28" s="75">
        <f>IF(B28="","",SUMIF(Taxonomy!$C$5:$C$204,B28,Taxonomy!$J$5:$J$204))</f>
        <v/>
      </c>
      <c r="D28" s="78">
        <f>IF(B28="","",SUMIF(Taxonomy!$C$5:$C$204,B28,Taxonomy!$K$5:$K$204))</f>
        <v/>
      </c>
    </row>
    <row r="29" ht="15" customHeight="1" s="41">
      <c r="B29" s="77" t="n"/>
      <c r="C29" s="75">
        <f>IF(B29="","",SUMIF(Taxonomy!$C$5:$C$204,B29,Taxonomy!$J$5:$J$204))</f>
        <v/>
      </c>
      <c r="D29" s="78">
        <f>IF(B29="","",SUMIF(Taxonomy!$C$5:$C$204,B29,Taxonomy!$K$5:$K$204))</f>
        <v/>
      </c>
    </row>
    <row r="30" ht="15" customHeight="1" s="41">
      <c r="B30" s="77" t="n"/>
      <c r="C30" s="75">
        <f>IF(B30="","",SUMIF(Taxonomy!$C$5:$C$204,B30,Taxonomy!$J$5:$J$204))</f>
        <v/>
      </c>
      <c r="D30" s="78">
        <f>IF(B30="","",SUMIF(Taxonomy!$C$5:$C$204,B30,Taxonomy!$K$5:$K$204))</f>
        <v/>
      </c>
    </row>
    <row r="31" ht="15" customHeight="1" s="41">
      <c r="B31" s="77" t="n"/>
      <c r="C31" s="75">
        <f>IF(B31="","",SUMIF(Taxonomy!$C$5:$C$204,B31,Taxonomy!$J$5:$J$204))</f>
        <v/>
      </c>
      <c r="D31" s="78">
        <f>IF(B31="","",SUMIF(Taxonomy!$C$5:$C$204,B31,Taxonomy!$K$5:$K$204))</f>
        <v/>
      </c>
    </row>
    <row r="32" ht="15" customHeight="1" s="41">
      <c r="B32" s="77" t="n"/>
      <c r="C32" s="75">
        <f>IF(B32="","",SUMIF(Taxonomy!$C$5:$C$204,B32,Taxonomy!$J$5:$J$204))</f>
        <v/>
      </c>
      <c r="D32" s="78">
        <f>IF(B32="","",SUMIF(Taxonomy!$C$5:$C$204,B32,Taxonomy!$K$5:$K$204))</f>
        <v/>
      </c>
    </row>
    <row r="33" ht="15" customHeight="1" s="41">
      <c r="B33" s="77" t="n"/>
      <c r="C33" s="75">
        <f>IF(B33="","",SUMIF(Taxonomy!$C$5:$C$204,B33,Taxonomy!$J$5:$J$204))</f>
        <v/>
      </c>
      <c r="D33" s="78">
        <f>IF(B33="","",SUMIF(Taxonomy!$C$5:$C$204,B33,Taxonomy!$K$5:$K$204))</f>
        <v/>
      </c>
    </row>
    <row r="34" ht="15" customHeight="1" s="41">
      <c r="B34" s="77" t="n"/>
      <c r="C34" s="75">
        <f>IF(B34="","",SUMIF(Taxonomy!$C$5:$C$204,B34,Taxonomy!$J$5:$J$204))</f>
        <v/>
      </c>
      <c r="D34" s="78">
        <f>IF(B34="","",SUMIF(Taxonomy!$C$5:$C$204,B34,Taxonomy!$K$5:$K$204))</f>
        <v/>
      </c>
    </row>
    <row r="35"/>
    <row r="36" ht="15" customHeight="1" s="41">
      <c r="B36" s="79" t="inlineStr">
        <is>
          <t>Bring this page to your next leadership meeting: here is the work, here is what should stop, here is what moves, and here is where the capacity goes.</t>
        </is>
      </c>
    </row>
    <row r="37" ht="15" customHeight="1" s="41"/>
    <row r="38"/>
    <row r="39" ht="15" customHeight="1" s="41">
      <c r="B39" s="51" t="inlineStr">
        <is>
          <t>© 2026 Elizabeth A. Corey. All rights reserved. GROWTH Execution Model™. onthegrow.ai</t>
        </is>
      </c>
    </row>
  </sheetData>
  <mergeCells count="2">
    <mergeCell ref="D6:E6"/>
    <mergeCell ref="B36:E37"/>
  </mergeCells>
  <printOptions horizontalCentered="0" verticalCentered="0" headings="0" gridLines="0" gridLinesSet="1"/>
  <pageMargins left="0.75" right="0.75" top="1" bottom="1" header="0.511811023622047" footer="0.5"/>
  <pageSetup orientation="landscape" paperSize="1" scale="100" fitToHeight="0" fitToWidth="1" pageOrder="downThenOver" blackAndWhite="0" draft="0" horizontalDpi="300" verticalDpi="300" copies="1"/>
  <headerFooter differentOddEven="0" differentFirst="0">
    <oddHeader/>
    <oddFooter>&amp;L&amp;8 OnTheGrow Leadership | Work Taxonomy&amp;C&amp;8 © 2026 Elizabeth A. Corey. All rights reserved.&amp;R&amp;8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2026-10-09T02:59:26Z</dcterms:created>
  <dcterms:modified xmlns:dcterms="http://purl.org/dc/terms/" xmlns:xsi="http://www.w3.org/2001/XMLSchema-instance" xsi:type="dcterms:W3CDTF">2026-10-20T02:32:52Z</dcterms:modified>
  <cp:revision>0</cp:revision>
</cp:coreProperties>
</file>