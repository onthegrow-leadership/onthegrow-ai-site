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Literacy Quiz" sheetId="2" state="visible" r:id="rId2"/>
    <sheet xmlns:r="http://schemas.openxmlformats.org/officeDocument/2006/relationships" name="Answer Key" sheetId="3" state="hidden" r:id="rId3"/>
    <sheet xmlns:r="http://schemas.openxmlformats.org/officeDocument/2006/relationships" name="Scenarios" sheetId="4" state="visible" r:id="rId4"/>
    <sheet xmlns:r="http://schemas.openxmlformats.org/officeDocument/2006/relationships" name="Six Skills Scale" sheetId="5" state="visible" r:id="rId5"/>
    <sheet xmlns:r="http://schemas.openxmlformats.org/officeDocument/2006/relationships" name="Team Map" sheetId="6" state="visible" r:id="rId6"/>
  </sheets>
  <definedNames>
    <definedName name="_xlnm.Print_Titles" localSheetId="5">'Team Map'!$4:$4</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FF36294F"/>
      <sz val="20"/>
    </font>
    <font>
      <name val="Arial"/>
      <i val="1"/>
      <color rgb="FF39989E"/>
      <sz val="11"/>
    </font>
    <font>
      <name val="Arial"/>
      <color rgb="FF55505F"/>
      <sz val="8"/>
    </font>
    <font>
      <name val="Arial"/>
      <color rgb="FF26222E"/>
      <sz val="10"/>
    </font>
    <font>
      <name val="Arial"/>
      <b val="1"/>
      <color rgb="FFFFFFFF"/>
      <sz val="12"/>
    </font>
    <font>
      <name val="Arial"/>
      <b val="1"/>
      <color rgb="FF36294F"/>
      <sz val="10"/>
    </font>
    <font>
      <name val="Arial"/>
      <b val="1"/>
      <color rgb="FF36294F"/>
      <sz val="16"/>
    </font>
    <font>
      <name val="Arial"/>
      <i val="1"/>
      <color rgb="FF55505F"/>
      <sz val="9"/>
    </font>
    <font>
      <name val="Arial"/>
      <b val="1"/>
      <color rgb="FFFFFFFF"/>
      <sz val="9"/>
    </font>
    <font>
      <name val="Arial"/>
      <color rgb="FF26222E"/>
      <sz val="9"/>
    </font>
    <font>
      <name val="Arial"/>
      <b val="1"/>
      <color rgb="FF26222E"/>
      <sz val="9"/>
    </font>
    <font>
      <name val="Arial"/>
      <i val="1"/>
      <color rgb="FF36294F"/>
      <sz val="9"/>
    </font>
    <font>
      <name val="Arial"/>
      <b val="1"/>
      <color rgb="FF36294F"/>
      <sz val="9"/>
    </font>
    <font>
      <name val="Arial"/>
      <b val="1"/>
      <color rgb="FF26222E"/>
      <sz val="10"/>
    </font>
    <font>
      <name val="Arial"/>
      <b val="1"/>
      <color rgb="FF2B7A7F"/>
      <sz val="10"/>
    </font>
  </fonts>
  <fills count="5">
    <fill>
      <patternFill/>
    </fill>
    <fill>
      <patternFill patternType="gray125"/>
    </fill>
    <fill>
      <patternFill patternType="solid">
        <fgColor rgb="FF36294F"/>
      </patternFill>
    </fill>
    <fill>
      <patternFill patternType="solid">
        <fgColor rgb="FF39989E"/>
      </patternFill>
    </fill>
    <fill>
      <patternFill patternType="solid">
        <fgColor rgb="FFFFF2CC"/>
      </patternFill>
    </fill>
  </fills>
  <borders count="5">
    <border>
      <left/>
      <right/>
      <top/>
      <bottom/>
      <diagonal/>
    </border>
    <border>
      <left style="thin">
        <color rgb="FFD9D5E2"/>
      </left>
      <right style="thin">
        <color rgb="FFD9D5E2"/>
      </right>
      <top style="thin">
        <color rgb="FFD9D5E2"/>
      </top>
      <bottom style="thin">
        <color rgb="FFD9D5E2"/>
      </bottom>
    </border>
    <border>
      <left/>
      <right/>
      <top style="thin">
        <color rgb="FFD9D5E2"/>
      </top>
      <bottom/>
      <diagonal/>
    </border>
    <border>
      <left/>
      <right style="thin">
        <color rgb="FFD9D5E2"/>
      </right>
      <top style="thin">
        <color rgb="FFD9D5E2"/>
      </top>
      <bottom/>
      <diagonal/>
    </border>
    <border>
      <left/>
      <right style="thin">
        <color rgb="FFD9D5E2"/>
      </right>
      <top style="thin">
        <color rgb="FFD9D5E2"/>
      </top>
      <bottom style="thin">
        <color rgb="FFD9D5E2"/>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0" fillId="2"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pivotButton="0" quotePrefix="0" xfId="0"/>
    <xf numFmtId="0" fontId="3" fillId="0" borderId="0" pivotButton="0" quotePrefix="0" xfId="0"/>
    <xf numFmtId="0" fontId="9" fillId="2" borderId="1" applyAlignment="1" pivotButton="0" quotePrefix="0" xfId="0">
      <alignment horizontal="center" vertical="center"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0" applyAlignment="1" pivotButton="0" quotePrefix="0" xfId="0">
      <alignment vertical="top" wrapText="1"/>
    </xf>
    <xf numFmtId="0" fontId="13" fillId="0" borderId="1" applyAlignment="1" pivotButton="0" quotePrefix="0" xfId="0">
      <alignment vertical="top" wrapText="1"/>
    </xf>
    <xf numFmtId="0" fontId="9" fillId="3" borderId="1" applyAlignment="1" pivotButton="0" quotePrefix="0" xfId="0">
      <alignment horizontal="center" vertical="center" wrapText="1"/>
    </xf>
    <xf numFmtId="0" fontId="10" fillId="4" borderId="1" applyAlignment="1" pivotButton="0" quotePrefix="0" xfId="0">
      <alignment vertical="top" wrapText="1"/>
    </xf>
    <xf numFmtId="0" fontId="10" fillId="4" borderId="1" applyAlignment="1" pivotButton="0" quotePrefix="0" xfId="0">
      <alignment horizontal="center" vertical="top" wrapText="1"/>
    </xf>
    <xf numFmtId="0" fontId="11" fillId="0" borderId="1" applyAlignment="1" pivotButton="0" quotePrefix="0" xfId="0">
      <alignment horizontal="center" vertical="top" wrapText="1"/>
    </xf>
    <xf numFmtId="0" fontId="5" fillId="2" borderId="0" pivotButton="0" quotePrefix="0" xfId="0"/>
    <xf numFmtId="0" fontId="0" fillId="2" borderId="0" pivotButton="0" quotePrefix="0" xfId="0"/>
    <xf numFmtId="0" fontId="4" fillId="0" borderId="1" applyAlignment="1" pivotButton="0" quotePrefix="0" xfId="0">
      <alignment vertical="center" wrapText="1"/>
    </xf>
    <xf numFmtId="1" fontId="14" fillId="0" borderId="1" applyAlignment="1" pivotButton="0" quotePrefix="0" xfId="0">
      <alignment horizontal="center" vertical="center" wrapText="1"/>
    </xf>
    <xf numFmtId="0" fontId="0" fillId="0" borderId="4" pivotButton="0" quotePrefix="0" xfId="0"/>
    <xf numFmtId="164" fontId="14" fillId="0" borderId="1" applyAlignment="1" pivotButton="0" quotePrefix="0" xfId="0">
      <alignment horizontal="center" vertical="center" wrapText="1"/>
    </xf>
    <xf numFmtId="0" fontId="6" fillId="0" borderId="0" pivotButton="0" quotePrefix="0" xfId="0"/>
    <xf numFmtId="0" fontId="4" fillId="0" borderId="1" pivotButton="0" quotePrefix="0" xfId="0"/>
    <xf numFmtId="0" fontId="15" fillId="0" borderId="1" applyAlignment="1" pivotButton="0" quotePrefix="0" xfId="0">
      <alignment horizontal="center" vertical="center" wrapText="1"/>
    </xf>
    <xf numFmtId="0" fontId="12" fillId="0" borderId="0" pivotButton="0" quotePrefix="0" xfId="0"/>
  </cellXfs>
  <cellStyles count="1">
    <cellStyle name="Normal" xfId="0" builtinId="0" hidden="0"/>
  </cellStyles>
  <dxfs count="4">
    <dxf>
      <font>
        <b val="1"/>
        <color rgb="FF2B7A7F"/>
      </font>
      <fill>
        <patternFill patternType="solid">
          <bgColor rgb="FFEAF5F5"/>
        </patternFill>
      </fill>
    </dxf>
    <dxf>
      <font>
        <b val="1"/>
        <color rgb="FF9A5B00"/>
      </font>
      <fill>
        <patternFill patternType="solid">
          <bgColor rgb="FFFFF4E5"/>
        </patternFill>
      </fill>
    </dxf>
    <dxf>
      <font>
        <b val="1"/>
        <color rgb="FFB42318"/>
      </font>
      <fill>
        <patternFill patternType="solid">
          <bgColor rgb="FFFDE8E8"/>
        </patternFill>
      </fill>
    </dxf>
    <dxf>
      <font>
        <b val="1"/>
        <color rgb="FFB4231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C28"/>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1" ht="30" customHeight="1">
      <c r="B1" s="1" t="inlineStr">
        <is>
          <t>The Capability Gap Assessment</t>
        </is>
      </c>
      <c r="C1" s="2" t="n"/>
    </row>
    <row r="2" ht="30" customHeight="1">
      <c r="B2" s="3" t="inlineStr">
        <is>
          <t>From AI Will Scale Good Leadership and Bad Leadership: The CHRO’s Method for Redesigning Work Before AI Scales What’s Broken, by Liz Corey  |  Toolbox No. 8  |  OnTheGrow Leadership</t>
        </is>
      </c>
      <c r="C2" s="2" t="n"/>
    </row>
    <row r="3">
      <c r="B3" s="4" t="inlineStr">
        <is>
          <t>© 2026 Elizabeth A. Corey. All rights reserved. GROWTH Execution Model™. onthegrow.ai</t>
        </is>
      </c>
      <c r="C3" s="2" t="n"/>
    </row>
    <row r="5" ht="45" customHeight="1">
      <c r="B5" s="5" t="inlineStr">
        <is>
          <t>AI readiness has two parts, and organizations routinely test only the first. Literacy is whether a person can explain the five terms. Capability is what they actually do when it counts. The gap between knowing and doing is where the risk lives. This workbook measures both and tells you which of the six skills to rehearse next.</t>
        </is>
      </c>
      <c r="C5" s="2" t="n"/>
    </row>
    <row r="7">
      <c r="B7" s="6" t="inlineStr">
        <is>
          <t>HOW THIS WORKBOOK IS SET UP</t>
        </is>
      </c>
      <c r="C7" s="7" t="n"/>
    </row>
    <row r="8">
      <c r="B8" s="8" t="inlineStr">
        <is>
          <t>Literacy Quiz</t>
        </is>
      </c>
      <c r="C8" s="5" t="inlineStr">
        <is>
          <t>Ten questions on the five terms and their business consequences. The cheap half, and the smaller one.</t>
        </is>
      </c>
    </row>
    <row r="9">
      <c r="B9" s="8" t="inlineStr">
        <is>
          <t>Scenarios</t>
        </is>
      </c>
      <c r="C9" s="5" t="inlineStr">
        <is>
          <t>Three scenarios with real artifacts. Capability is scored on behavior, not vocabulary.</t>
        </is>
      </c>
    </row>
    <row r="10">
      <c r="B10" s="8" t="inlineStr">
        <is>
          <t>Six Skills Scale</t>
        </is>
      </c>
      <c r="C10" s="5" t="inlineStr">
        <is>
          <t>The six skills that close the gap, each with observable anchors at three levels. Score people against it during the scenarios.</t>
        </is>
      </c>
    </row>
    <row r="11">
      <c r="B11" s="8" t="inlineStr">
        <is>
          <t>Team Map</t>
        </is>
      </c>
      <c r="C11" s="5" t="inlineStr">
        <is>
          <t>One row per person. Enter quiz answers and six skill ratings. The workbook plots the quadrant and names the plan.</t>
        </is>
      </c>
    </row>
    <row r="12">
      <c r="B12" s="8" t="inlineStr">
        <is>
          <t>Example rows</t>
        </is>
      </c>
      <c r="C12" s="5" t="inlineStr">
        <is>
          <t>A recruiting team of eight is filled in so you can see a finished map. Replace them with your own people.</t>
        </is>
      </c>
    </row>
    <row r="13">
      <c r="B13" s="8" t="inlineStr">
        <is>
          <t>Yellow cells</t>
        </is>
      </c>
      <c r="C13" s="5" t="inlineStr">
        <is>
          <t>Type in the yellow cells only. Every other cell is a formula.</t>
        </is>
      </c>
    </row>
    <row r="15">
      <c r="B15" s="6" t="inlineStr">
        <is>
          <t>HOW TO RUN IT</t>
        </is>
      </c>
      <c r="C15" s="7" t="n"/>
    </row>
    <row r="16">
      <c r="B16" s="8" t="inlineStr">
        <is>
          <t>1. Measure literacy the cheap way</t>
        </is>
      </c>
      <c r="C16" s="5" t="inlineStr">
        <is>
          <t>Give the ten-question quiz. Enter each person’s answers on the Team Map. Eight or more is high literacy.</t>
        </is>
      </c>
    </row>
    <row r="17">
      <c r="B17" s="8" t="inlineStr">
        <is>
          <t>2. Measure capability the real way</t>
        </is>
      </c>
      <c r="C17" s="5" t="inlineStr">
        <is>
          <t>Run the three scenarios in small groups with real artifacts and an immediate debrief. Rate each of the six skills 1 to 3 on the scale. Say nothing about the fabrication in advance.</t>
        </is>
      </c>
    </row>
    <row r="18">
      <c r="B18" s="8" t="inlineStr">
        <is>
          <t>3. Plot the four profiles and plan by quadrant</t>
        </is>
      </c>
      <c r="C18" s="5" t="inlineStr">
        <is>
          <t>Operators teach. Naturals get vocabulary. Honest beginners get the full sequence. Confident beginners get scenarios first and autonomy last, whatever their confidence says.</t>
        </is>
      </c>
    </row>
    <row r="19">
      <c r="B19" s="8" t="inlineStr">
        <is>
          <t>4. Reassess after rehearsal cycles</t>
        </is>
      </c>
      <c r="C19" s="5" t="inlineStr">
        <is>
          <t>Not calendar quarters. Capability moves when practiced, and the map should move with it.</t>
        </is>
      </c>
    </row>
    <row r="21">
      <c r="B21" s="6" t="inlineStr">
        <is>
          <t>THE CHRO’S MOVE</t>
        </is>
      </c>
      <c r="C21" s="7" t="n"/>
    </row>
    <row r="22">
      <c r="B22" s="8" t="inlineStr">
        <is>
          <t>Run it on your own team first</t>
        </is>
      </c>
      <c r="C22" s="5" t="inlineStr">
        <is>
          <t>Three scenarios, one hour, your HR leadership group. Score behaviors. The results will humble the room, which is the point: you cannot credibly assess a gap you have not measured in yourself. Then take the method to one business unit, managers first, and let the completion-certificate budget pay for the scenarios.</t>
        </is>
      </c>
    </row>
    <row r="24">
      <c r="B24" s="6" t="inlineStr">
        <is>
          <t>WANT IT DONE FASTER?</t>
        </is>
      </c>
      <c r="C24" s="7" t="n"/>
    </row>
    <row r="25">
      <c r="B25" s="8" t="inlineStr">
        <is>
          <t>Capability Scenario Scorer</t>
        </is>
      </c>
      <c r="C25" s="5" t="inlineStr">
        <is>
          <t>The AI-powered version runs the scenarios with each person, scores the behaviors against the six skills, and builds the team map. Early access. Call for pricing. Book a conversation at onthegrow.ai</t>
        </is>
      </c>
    </row>
    <row r="26">
      <c r="B26" s="8" t="inlineStr">
        <is>
          <t>Six Skills Interview Agent</t>
        </is>
      </c>
      <c r="C26" s="5" t="inlineStr">
        <is>
          <t>Interviews candidates and employees against the Six Skills Behavioral Scale. Available now. Call for pricing.</t>
        </is>
      </c>
    </row>
    <row r="28">
      <c r="B28" s="4" t="inlineStr">
        <is>
          <t>© 2026 Elizabeth A. Corey. All rights reserved. GROWTH Execution Model™. onthegrow.ai</t>
        </is>
      </c>
      <c r="C28" s="2" t="n"/>
    </row>
  </sheetData>
  <mergeCells count="9">
    <mergeCell ref="B21:C21"/>
    <mergeCell ref="B2:C2"/>
    <mergeCell ref="B24:C24"/>
    <mergeCell ref="B15:C15"/>
    <mergeCell ref="B7:C7"/>
    <mergeCell ref="B3:C3"/>
    <mergeCell ref="B5:C5"/>
    <mergeCell ref="B28:C28"/>
    <mergeCell ref="B1:C1"/>
  </mergeCells>
  <pageMargins left="0.75" right="0.75" top="1" bottom="1" header="0.5" footer="0.5"/>
  <pageSetup orientation="landscape" fitToHeight="0" fitToWidth="1"/>
  <headerFooter>
    <oddHeader/>
    <oddFooter>&amp;LOnTheGrow Leadership | Capability Gap Assessment&amp;RPage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17"/>
  <sheetViews>
    <sheetView showGridLines="0" workbookViewId="0">
      <selection activeCell="A1" sqref="A1"/>
    </sheetView>
  </sheetViews>
  <sheetFormatPr baseColWidth="8" defaultRowHeight="15"/>
  <cols>
    <col width="5" customWidth="1" min="1" max="1"/>
    <col width="22" customWidth="1" min="2" max="2"/>
    <col width="50" customWidth="1" min="3" max="3"/>
    <col width="30" customWidth="1" min="4" max="4"/>
    <col width="24" customWidth="1" min="5" max="5"/>
    <col width="24" customWidth="1" min="6" max="6"/>
    <col width="24" customWidth="1" min="7" max="7"/>
  </cols>
  <sheetData>
    <row r="1">
      <c r="A1" s="9" t="inlineStr">
        <is>
          <t>Literacy Quiz: The Five Terms and Their Consequences</t>
        </is>
      </c>
    </row>
    <row r="2" ht="28" customHeight="1">
      <c r="A2" s="10" t="inlineStr">
        <is>
          <t>HOW TO USE THIS TAB: Give these ten questions on paper or on screen. One best answer each. Record each person’s answers (A, B, C, or D) on the Team Map. The key is on the Answer Key tab, which you can hide before you hand this out.</t>
        </is>
      </c>
    </row>
    <row r="3">
      <c r="A3" s="11" t="inlineStr">
        <is>
          <t>© 2026 Elizabeth A. Corey. All rights reserved. GROWTH Execution Model™. onthegrow.ai</t>
        </is>
      </c>
    </row>
    <row r="5">
      <c r="A5" s="12" t="inlineStr">
        <is>
          <t>#</t>
        </is>
      </c>
      <c r="B5" s="12" t="inlineStr">
        <is>
          <t>Term</t>
        </is>
      </c>
      <c r="C5" s="12" t="inlineStr">
        <is>
          <t>Question</t>
        </is>
      </c>
      <c r="D5" s="12" t="inlineStr">
        <is>
          <t>A</t>
        </is>
      </c>
      <c r="E5" s="12" t="inlineStr">
        <is>
          <t>B</t>
        </is>
      </c>
      <c r="F5" s="12" t="inlineStr">
        <is>
          <t>C</t>
        </is>
      </c>
      <c r="G5" s="12" t="inlineStr">
        <is>
          <t>D</t>
        </is>
      </c>
    </row>
    <row r="6" ht="48" customHeight="1">
      <c r="A6" s="13" t="n">
        <v>1</v>
      </c>
      <c r="B6" s="14" t="inlineStr">
        <is>
          <t>The prediction engine</t>
        </is>
      </c>
      <c r="C6" s="13" t="inlineStr">
        <is>
          <t>A model gives a fluent, specific answer about your company’s PTO policy. What is the safest assumption?</t>
        </is>
      </c>
      <c r="D6" s="13" t="inlineStr">
        <is>
          <t>It predicted a plausible answer. It has never read your policy unless it was grounded in it.</t>
        </is>
      </c>
      <c r="E6" s="13" t="inlineStr">
        <is>
          <t>It looked the policy up.</t>
        </is>
      </c>
      <c r="F6" s="13" t="inlineStr">
        <is>
          <t>It knows the policy from training.</t>
        </is>
      </c>
      <c r="G6" s="13" t="inlineStr">
        <is>
          <t>It is right because it sounded specific.</t>
        </is>
      </c>
    </row>
    <row r="7" ht="48" customHeight="1">
      <c r="A7" s="13" t="n">
        <v>2</v>
      </c>
      <c r="B7" s="14" t="inlineStr">
        <is>
          <t>The prediction engine</t>
        </is>
      </c>
      <c r="C7" s="13" t="inlineStr">
        <is>
          <t>Which statement is true of a large language model on its own?</t>
        </is>
      </c>
      <c r="D7" s="13" t="inlineStr">
        <is>
          <t>It predicts the next words from patterns.</t>
        </is>
      </c>
      <c r="E7" s="13" t="inlineStr">
        <is>
          <t>It stores your documents.</t>
        </is>
      </c>
      <c r="F7" s="13" t="inlineStr">
        <is>
          <t>It checks facts before answering.</t>
        </is>
      </c>
      <c r="G7" s="13" t="inlineStr">
        <is>
          <t>It knows what it does not know.</t>
        </is>
      </c>
    </row>
    <row r="8" ht="48" customHeight="1">
      <c r="A8" s="13" t="n">
        <v>3</v>
      </c>
      <c r="B8" s="14" t="inlineStr">
        <is>
          <t>The assignment</t>
        </is>
      </c>
      <c r="C8" s="13" t="inlineStr">
        <is>
          <t>A manager gets a generic, useless summary from AI. Where does the fix usually belong?</t>
        </is>
      </c>
      <c r="D8" s="13" t="inlineStr">
        <is>
          <t>In the request: add goal, context, constraints, output.</t>
        </is>
      </c>
      <c r="E8" s="13" t="inlineStr">
        <is>
          <t>In a better model.</t>
        </is>
      </c>
      <c r="F8" s="13" t="inlineStr">
        <is>
          <t>In editing the summary by hand.</t>
        </is>
      </c>
      <c r="G8" s="13" t="inlineStr">
        <is>
          <t>In asking the same request again.</t>
        </is>
      </c>
    </row>
    <row r="9" ht="48" customHeight="1">
      <c r="A9" s="13" t="n">
        <v>4</v>
      </c>
      <c r="B9" s="14" t="inlineStr">
        <is>
          <t>The assignment</t>
        </is>
      </c>
      <c r="C9" s="13" t="inlineStr">
        <is>
          <t>Which of these is the complete assignment structure from the book?</t>
        </is>
      </c>
      <c r="D9" s="13" t="inlineStr">
        <is>
          <t>Goal, Context, Constraints, Output.</t>
        </is>
      </c>
      <c r="E9" s="13" t="inlineStr">
        <is>
          <t>Prompt, Model, Answer.</t>
        </is>
      </c>
      <c r="F9" s="13" t="inlineStr">
        <is>
          <t>Who, What, When.</t>
        </is>
      </c>
      <c r="G9" s="13" t="inlineStr">
        <is>
          <t>Input, Process, Output.</t>
        </is>
      </c>
    </row>
    <row r="10" ht="48" customHeight="1">
      <c r="A10" s="13" t="n">
        <v>5</v>
      </c>
      <c r="B10" s="14" t="inlineStr">
        <is>
          <t>The confident fabrication</t>
        </is>
      </c>
      <c r="C10" s="13" t="inlineStr">
        <is>
          <t>An AI-drafted letter cites a policy section you do not recognize. What does fluency tell you about whether it is real?</t>
        </is>
      </c>
      <c r="D10" s="13" t="inlineStr">
        <is>
          <t>Nothing. Fluent never means factual.</t>
        </is>
      </c>
      <c r="E10" s="13" t="inlineStr">
        <is>
          <t>It is probably real if it sounds specific.</t>
        </is>
      </c>
      <c r="F10" s="13" t="inlineStr">
        <is>
          <t>It is real if the model is a recent version.</t>
        </is>
      </c>
      <c r="G10" s="13" t="inlineStr">
        <is>
          <t>It is real if nobody else questioned it.</t>
        </is>
      </c>
    </row>
    <row r="11" ht="48" customHeight="1">
      <c r="A11" s="13" t="n">
        <v>6</v>
      </c>
      <c r="B11" s="14" t="inlineStr">
        <is>
          <t>The confident fabrication</t>
        </is>
      </c>
      <c r="C11" s="13" t="inlineStr">
        <is>
          <t>Which number should set how much checking an AI output gets?</t>
        </is>
      </c>
      <c r="D11" s="13" t="inlineStr">
        <is>
          <t>The cost of being wrong and the cost of checking it.</t>
        </is>
      </c>
      <c r="E11" s="13" t="inlineStr">
        <is>
          <t>How long the output is.</t>
        </is>
      </c>
      <c r="F11" s="13" t="inlineStr">
        <is>
          <t>How confident the model sounded.</t>
        </is>
      </c>
      <c r="G11" s="13" t="inlineStr">
        <is>
          <t>How senior the person who asked is.</t>
        </is>
      </c>
    </row>
    <row r="12" ht="48" customHeight="1">
      <c r="A12" s="13" t="n">
        <v>7</v>
      </c>
      <c r="B12" s="14" t="inlineStr">
        <is>
          <t>The grounding</t>
        </is>
      </c>
      <c r="C12" s="13" t="inlineStr">
        <is>
          <t>Grounding AI in your handbook means it answers from your handbook. What else does it mean?</t>
        </is>
      </c>
      <c r="D12" s="13" t="inlineStr">
        <is>
          <t>It inherits the handbook exactly as it stands, outdated parts included.</t>
        </is>
      </c>
      <c r="E12" s="13" t="inlineStr">
        <is>
          <t>The handbook is now correct.</t>
        </is>
      </c>
      <c r="F12" s="13" t="inlineStr">
        <is>
          <t>Employees no longer need the handbook.</t>
        </is>
      </c>
      <c r="G12" s="13" t="inlineStr">
        <is>
          <t>The AI will fix contradictions it finds.</t>
        </is>
      </c>
    </row>
    <row r="13" ht="48" customHeight="1">
      <c r="A13" s="13" t="n">
        <v>8</v>
      </c>
      <c r="B13" s="14" t="inlineStr">
        <is>
          <t>The grounding</t>
        </is>
      </c>
      <c r="C13" s="13" t="inlineStr">
        <is>
          <t>Two policy documents disagree and both are in the grounded set. What does the system do?</t>
        </is>
      </c>
      <c r="D13" s="13" t="inlineStr">
        <is>
          <t>It picks one. It does not adjudicate.</t>
        </is>
      </c>
      <c r="E13" s="13" t="inlineStr">
        <is>
          <t>It flags the conflict every time.</t>
        </is>
      </c>
      <c r="F13" s="13" t="inlineStr">
        <is>
          <t>It averages the two.</t>
        </is>
      </c>
      <c r="G13" s="13" t="inlineStr">
        <is>
          <t>It refuses to answer.</t>
        </is>
      </c>
    </row>
    <row r="14" ht="48" customHeight="1">
      <c r="A14" s="13" t="n">
        <v>9</v>
      </c>
      <c r="B14" s="14" t="inlineStr">
        <is>
          <t>The delegated worker</t>
        </is>
      </c>
      <c r="C14" s="13" t="inlineStr">
        <is>
          <t>What changes the moment software pursues an outcome with delegated authority?</t>
        </is>
      </c>
      <c r="D14" s="13" t="inlineStr">
        <is>
          <t>Workforce rules apply: a job description, decision boundaries, a named human owner.</t>
        </is>
      </c>
      <c r="E14" s="13" t="inlineStr">
        <is>
          <t>IT owns it.</t>
        </is>
      </c>
      <c r="F14" s="13" t="inlineStr">
        <is>
          <t>Nothing, it is still a tool.</t>
        </is>
      </c>
      <c r="G14" s="13" t="inlineStr">
        <is>
          <t>The vendor is accountable.</t>
        </is>
      </c>
    </row>
    <row r="15" ht="48" customHeight="1">
      <c r="A15" s="13" t="n">
        <v>10</v>
      </c>
      <c r="B15" s="14" t="inlineStr">
        <is>
          <t>The delegated worker</t>
        </is>
      </c>
      <c r="C15" s="13" t="inlineStr">
        <is>
          <t>An agent produces fluent output in a situation it was never meant to handle. What was missing?</t>
        </is>
      </c>
      <c r="D15" s="13" t="inlineStr">
        <is>
          <t>An escalation path and defined decision rights.</t>
        </is>
      </c>
      <c r="E15" s="13" t="inlineStr">
        <is>
          <t>A faster model.</t>
        </is>
      </c>
      <c r="F15" s="13" t="inlineStr">
        <is>
          <t>A longer prompt.</t>
        </is>
      </c>
      <c r="G15" s="13" t="inlineStr">
        <is>
          <t>A bigger team.</t>
        </is>
      </c>
    </row>
    <row r="17" ht="30" customHeight="1">
      <c r="A17" s="15" t="inlineStr">
        <is>
          <t>Scoring: one point per correct answer. 8 to 10 is high literacy. This is necessary, measurable, and not remotely sufficient. The scenarios are the test that counts.</t>
        </is>
      </c>
    </row>
  </sheetData>
  <mergeCells count="3">
    <mergeCell ref="A3:L3"/>
    <mergeCell ref="A2:L2"/>
    <mergeCell ref="A17:G17"/>
  </mergeCells>
  <pageMargins left="0.75" right="0.75" top="1" bottom="1" header="0.5" footer="0.5"/>
  <pageSetup orientation="landscape" fitToHeight="0" fitToWidth="1"/>
  <headerFooter>
    <oddHeader/>
    <oddFooter>&amp;LOnTheGrow Leadership | Capability Gap Assessment&amp;RPage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n">
        <v>1</v>
      </c>
      <c r="B1" t="inlineStr">
        <is>
          <t>A</t>
        </is>
      </c>
    </row>
    <row r="2">
      <c r="A2" t="n">
        <v>2</v>
      </c>
      <c r="B2" t="inlineStr">
        <is>
          <t>A</t>
        </is>
      </c>
    </row>
    <row r="3">
      <c r="A3" t="n">
        <v>3</v>
      </c>
      <c r="B3" t="inlineStr">
        <is>
          <t>A</t>
        </is>
      </c>
    </row>
    <row r="4">
      <c r="A4" t="n">
        <v>4</v>
      </c>
      <c r="B4" t="inlineStr">
        <is>
          <t>A</t>
        </is>
      </c>
    </row>
    <row r="5">
      <c r="A5" t="n">
        <v>5</v>
      </c>
      <c r="B5" t="inlineStr">
        <is>
          <t>A</t>
        </is>
      </c>
    </row>
    <row r="6">
      <c r="A6" t="n">
        <v>6</v>
      </c>
      <c r="B6" t="inlineStr">
        <is>
          <t>A</t>
        </is>
      </c>
    </row>
    <row r="7">
      <c r="A7" t="n">
        <v>7</v>
      </c>
      <c r="B7" t="inlineStr">
        <is>
          <t>A</t>
        </is>
      </c>
    </row>
    <row r="8">
      <c r="A8" t="n">
        <v>8</v>
      </c>
      <c r="B8" t="inlineStr">
        <is>
          <t>A</t>
        </is>
      </c>
    </row>
    <row r="9">
      <c r="A9" t="n">
        <v>9</v>
      </c>
      <c r="B9" t="inlineStr">
        <is>
          <t>A</t>
        </is>
      </c>
    </row>
    <row r="10">
      <c r="A10" t="n">
        <v>10</v>
      </c>
      <c r="B10" t="inlineStr">
        <is>
          <t>A</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L10"/>
  <sheetViews>
    <sheetView showGridLines="0" workbookViewId="0">
      <selection activeCell="A1" sqref="A1"/>
    </sheetView>
  </sheetViews>
  <sheetFormatPr baseColWidth="8" defaultRowHeight="15"/>
  <cols>
    <col width="26" customWidth="1" min="1" max="1"/>
    <col width="50" customWidth="1" min="2" max="2"/>
    <col width="50" customWidth="1" min="3" max="3"/>
    <col width="28" customWidth="1" min="4" max="4"/>
  </cols>
  <sheetData>
    <row r="1">
      <c r="A1" s="9" t="inlineStr">
        <is>
          <t>Three Scenarios: Capability Is Behavior Under Conditions</t>
        </is>
      </c>
    </row>
    <row r="2" ht="28" customHeight="1">
      <c r="A2" s="10" t="inlineStr">
        <is>
          <t>HOW TO USE THIS TAB: Small groups, real artifacts from your own company, immediate debrief. One hour covers all three. Score each person on the Six Skills Scale while you watch. Behavior, not vocabulary.</t>
        </is>
      </c>
    </row>
    <row r="3">
      <c r="A3" s="11" t="inlineStr">
        <is>
          <t>© 2026 Elizabeth A. Corey. All rights reserved. GROWTH Execution Model™. onthegrow.ai</t>
        </is>
      </c>
    </row>
    <row r="5">
      <c r="A5" s="12" t="inlineStr">
        <is>
          <t>Scenario</t>
        </is>
      </c>
      <c r="B5" s="12" t="inlineStr">
        <is>
          <t>The artifact and the setup</t>
        </is>
      </c>
      <c r="C5" s="12" t="inlineStr">
        <is>
          <t>What to watch</t>
        </is>
      </c>
      <c r="D5" s="12" t="inlineStr">
        <is>
          <t>Skills it reveals</t>
        </is>
      </c>
    </row>
    <row r="6" ht="70" customHeight="1">
      <c r="A6" s="16" t="inlineStr">
        <is>
          <t>1. The fabricated citation</t>
        </is>
      </c>
      <c r="B6" s="13" t="inlineStr">
        <is>
          <t>An AI-drafted policy answer (or termination letter) that cites a policy section that does not exist, handed over under deadline pressure. Say nothing about the fabrication in advance.</t>
        </is>
      </c>
      <c r="C6" s="13" t="inlineStr">
        <is>
          <t>Did they verify the citation, or admire the prose? How quickly? Did they name what had to be true for the document to be safe?</t>
        </is>
      </c>
      <c r="D6" s="13" t="inlineStr">
        <is>
          <t>Output interrogation, Verification judgment, Inquiry</t>
        </is>
      </c>
    </row>
    <row r="7" ht="70" customHeight="1">
      <c r="A7" s="16" t="inlineStr">
        <is>
          <t>2. The ambiguous escalation</t>
        </is>
      </c>
      <c r="B7" s="13" t="inlineStr">
        <is>
          <t>A flagged agent escalation that arrives ambiguous: a benefits question routed to a person with a low-confidence note and no clear reason.</t>
        </is>
      </c>
      <c r="C7" s="13" t="inlineStr">
        <is>
          <t>Did they escalate, investigate, or shrug? Did they ask what the agent was missing? Did they treat the pattern as a knowledge problem before an agent problem?</t>
        </is>
      </c>
      <c r="D7" s="13" t="inlineStr">
        <is>
          <t>Inquiry, Coaching, Verification judgment</t>
        </is>
      </c>
    </row>
    <row r="8" ht="70" customHeight="1">
      <c r="A8" s="16" t="inlineStr">
        <is>
          <t>3. The weak first draft</t>
        </is>
      </c>
      <c r="B8" s="13" t="inlineStr">
        <is>
          <t>A real delegation: they brief AI on a task, and the first output is mediocre on purpose.</t>
        </is>
      </c>
      <c r="C8" s="13" t="inlineStr">
        <is>
          <t>Did they fix the output or fix the assignment? Was the rewritten brief complete (goal, context, constraints, output)? Did they say what the freed time becomes?</t>
        </is>
      </c>
      <c r="D8" s="13" t="inlineStr">
        <is>
          <t>Delegation, Coaching, Reinvestment discipline</t>
        </is>
      </c>
    </row>
    <row r="10" ht="30" customHeight="1">
      <c r="A10" s="15" t="inlineStr">
        <is>
          <t>Keep it running. The cheapest rehearsal is a weekly thirty-minute after-action review: somebody brings a real case, the brief they wrote, what came back, what was good, what was wrong, and what they did about it.</t>
        </is>
      </c>
    </row>
  </sheetData>
  <mergeCells count="3">
    <mergeCell ref="A3:L3"/>
    <mergeCell ref="A2:L2"/>
    <mergeCell ref="A10:D10"/>
  </mergeCells>
  <pageMargins left="0.75" right="0.75" top="1" bottom="1" header="0.5" footer="0.5"/>
  <pageSetup orientation="landscape" fitToHeight="0" fitToWidth="1"/>
  <headerFooter>
    <oddHeader/>
    <oddFooter>&amp;LOnTheGrow Leadership | Capability Gap Assessment&amp;RPage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12"/>
  <sheetViews>
    <sheetView showGridLines="0" workbookViewId="0">
      <selection activeCell="A1" sqref="A1"/>
    </sheetView>
  </sheetViews>
  <sheetFormatPr baseColWidth="8" defaultRowHeight="15"/>
  <cols>
    <col width="22" customWidth="1" min="1" max="1"/>
    <col width="40" customWidth="1" min="2" max="2"/>
    <col width="34" customWidth="1" min="3" max="3"/>
    <col width="34" customWidth="1" min="4" max="4"/>
    <col width="40" customWidth="1" min="5" max="5"/>
  </cols>
  <sheetData>
    <row r="1">
      <c r="A1" s="9" t="inlineStr">
        <is>
          <t>The Six Skills Behavioral Scale</t>
        </is>
      </c>
    </row>
    <row r="2" ht="28" customHeight="1">
      <c r="A2" s="10" t="inlineStr">
        <is>
          <t>HOW TO USE THIS TAB: Rate each person 1, 2, or 3 on each skill, from what you saw in the scenarios. Every anchor is observable. A brief is either complete or it is not. A citation was either checked or it was not.</t>
        </is>
      </c>
    </row>
    <row r="3">
      <c r="A3" s="11" t="inlineStr">
        <is>
          <t>© 2026 Elizabeth A. Corey. All rights reserved. GROWTH Execution Model™. onthegrow.ai</t>
        </is>
      </c>
    </row>
    <row r="5">
      <c r="A5" s="12" t="inlineStr">
        <is>
          <t>Skill</t>
        </is>
      </c>
      <c r="B5" s="12" t="inlineStr">
        <is>
          <t>What it is</t>
        </is>
      </c>
      <c r="C5" s="12" t="inlineStr">
        <is>
          <t>1  Beginner</t>
        </is>
      </c>
      <c r="D5" s="12" t="inlineStr">
        <is>
          <t>2  Developing</t>
        </is>
      </c>
      <c r="E5" s="12" t="inlineStr">
        <is>
          <t>3  Operator</t>
        </is>
      </c>
    </row>
    <row r="6" ht="62" customHeight="1">
      <c r="A6" s="16" t="inlineStr">
        <is>
          <t>Delegation</t>
        </is>
      </c>
      <c r="B6" s="13" t="inlineStr">
        <is>
          <t>Writing the complete assignment (goal, context, constraints, output) and recognizing when a weak result traces to a weak brief.</t>
        </is>
      </c>
      <c r="C6" s="13" t="inlineStr">
        <is>
          <t>Types a one-line request and takes what comes back. Fixes weak output by hand.</t>
        </is>
      </c>
      <c r="D6" s="13" t="inlineStr">
        <is>
          <t>Writes goal and output. Context and constraints are thin. Sometimes traces a weak result to the brief.</t>
        </is>
      </c>
      <c r="E6" s="13" t="inlineStr">
        <is>
          <t>Writes all four parts without prompting. When output is weak, rewrites the assignment, not the output.</t>
        </is>
      </c>
    </row>
    <row r="7" ht="62" customHeight="1">
      <c r="A7" s="16" t="inlineStr">
        <is>
          <t>Inquiry</t>
        </is>
      </c>
      <c r="B7" s="13" t="inlineStr">
        <is>
          <t>Knowing how to ask the next question. Not accepting the first answer, even when it sounds good.</t>
        </is>
      </c>
      <c r="C7" s="13" t="inlineStr">
        <is>
          <t>Accepts the first answer. Asks nothing further.</t>
        </is>
      </c>
      <c r="D7" s="13" t="inlineStr">
        <is>
          <t>Asks one follow-up when something looks off.</t>
        </is>
      </c>
      <c r="E7" s="13" t="inlineStr">
        <is>
          <t>Stays in the question: what is missing, what changed, what assumption is hiding, what have I not thought to ask.</t>
        </is>
      </c>
    </row>
    <row r="8" ht="62" customHeight="1">
      <c r="A8" s="16" t="inlineStr">
        <is>
          <t>Output interrogation</t>
        </is>
      </c>
      <c r="B8" s="13" t="inlineStr">
        <is>
          <t>Treating fluency as a claim, not a credential. Asking what in this document must be true for it to be safe, and checking exactly those things.</t>
        </is>
      </c>
      <c r="C8" s="13" t="inlineStr">
        <is>
          <t>Proofreads for tone and typos. Forwards the fabricated citation.</t>
        </is>
      </c>
      <c r="D8" s="13" t="inlineStr">
        <is>
          <t>Spot-checks a fact or two. Catches an error when it looks wrong.</t>
        </is>
      </c>
      <c r="E8" s="13" t="inlineStr">
        <is>
          <t>Names what must be true for the output to be safe, checks exactly those things, and catches the fabrication.</t>
        </is>
      </c>
    </row>
    <row r="9" ht="62" customHeight="1">
      <c r="A9" s="16" t="inlineStr">
        <is>
          <t>Verification judgment</t>
        </is>
      </c>
      <c r="B9" s="13" t="inlineStr">
        <is>
          <t>Knowing how much scrutiny this output deserves: wrongness cost and verification cost applied at the desk level.</t>
        </is>
      </c>
      <c r="C9" s="13" t="inlineStr">
        <is>
          <t>Scrutinizes everything or nothing. Drowns or detonates.</t>
        </is>
      </c>
      <c r="D9" s="13" t="inlineStr">
        <is>
          <t>Adjusts scrutiny when reminded of the stakes.</t>
        </is>
      </c>
      <c r="E9" s="13" t="inlineStr">
        <is>
          <t>Scrutiny matches the cost of being wrong. The recap gets a skim. The compliance answer gets the full treatment.</t>
        </is>
      </c>
    </row>
    <row r="10" ht="62" customHeight="1">
      <c r="A10" s="16" t="inlineStr">
        <is>
          <t>Coaching</t>
        </is>
      </c>
      <c r="B10" s="13" t="inlineStr">
        <is>
          <t>Naming good output so it repeats. Tracing poor output to its cause (the brief, the context, the standard) and correcting there. Still coaching the person, not handing them an AI answer.</t>
        </is>
      </c>
      <c r="C10" s="13" t="inlineStr">
        <is>
          <t>Patches poor output by hand. Hands people AI answers and calls it development.</t>
        </is>
      </c>
      <c r="D10" s="13" t="inlineStr">
        <is>
          <t>Names good output. Traces some poor output to the brief.</t>
        </is>
      </c>
      <c r="E10" s="13" t="inlineStr">
        <is>
          <t>Corrects at the cause every time, for the agent and the person. Examines thinking, tests assumptions, improves the next attempt.</t>
        </is>
      </c>
    </row>
    <row r="11" ht="62" customHeight="1">
      <c r="A11" s="16" t="inlineStr">
        <is>
          <t>Reinvestment discipline</t>
        </is>
      </c>
      <c r="B11" s="13" t="inlineStr">
        <is>
          <t>The personal habit of deciding what freed capacity should become, before volume fills it.</t>
        </is>
      </c>
      <c r="C11" s="13" t="inlineStr">
        <is>
          <t>Freed hours fill with more of the same.</t>
        </is>
      </c>
      <c r="D11" s="13" t="inlineStr">
        <is>
          <t>Can name where some freed time went.</t>
        </is>
      </c>
      <c r="E11" s="13" t="inlineStr">
        <is>
          <t>Decides in advance what the capacity becomes, and can show it.</t>
        </is>
      </c>
    </row>
    <row r="12" ht="30" customHeight="1">
      <c r="A12" s="15" t="inlineStr">
        <is>
          <t>Notice what the list is: delegate, inquire, interrogate, verify, coach, reinvest. These are management skills in the order of a manager’s day. There is no separate discipline called working with AI. The only thing new is the worker.</t>
        </is>
      </c>
    </row>
  </sheetData>
  <mergeCells count="3">
    <mergeCell ref="A3:L3"/>
    <mergeCell ref="A2:L2"/>
    <mergeCell ref="A12:E12"/>
  </mergeCells>
  <pageMargins left="0.75" right="0.75" top="1" bottom="1" header="0.5" footer="0.5"/>
  <pageSetup orientation="landscape" fitToHeight="0" fitToWidth="1"/>
  <headerFooter>
    <oddHeader/>
    <oddFooter>&amp;LOnTheGrow Leadership | Capability Gap Assessment&amp;RPage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6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9"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6" customWidth="1" min="21" max="21"/>
    <col width="18" customWidth="1" min="22" max="22"/>
    <col width="44" customWidth="1" min="23" max="23"/>
    <col width="14" customWidth="1" min="24" max="24"/>
    <col width="36" customWidth="1" min="25" max="25"/>
  </cols>
  <sheetData>
    <row r="1">
      <c r="A1" s="9" t="inlineStr">
        <is>
          <t>Team Map: Who Is Where on the Knowing-Doing Map</t>
        </is>
      </c>
    </row>
    <row r="2" ht="28" customHeight="1">
      <c r="A2" s="10" t="inlineStr">
        <is>
          <t>HOW TO USE THIS TAB: One row per person. Type the ten quiz answers as letters and the six skill ratings as 1, 2, or 3, all in the yellow cells. The workbook scores literacy, averages capability, names the quadrant, and writes the plan. The recruiting rows are an example; replace them.</t>
        </is>
      </c>
    </row>
    <row r="3">
      <c r="A3" s="11" t="inlineStr">
        <is>
          <t>© 2026 Elizabeth A. Corey. All rights reserved. GROWTH Execution Model™. onthegrow.ai</t>
        </is>
      </c>
    </row>
    <row r="4" ht="42" customHeight="1">
      <c r="A4" s="12" t="inlineStr">
        <is>
          <t>Person</t>
        </is>
      </c>
      <c r="B4" s="12" t="inlineStr">
        <is>
          <t>Role</t>
        </is>
      </c>
      <c r="C4" s="12" t="inlineStr">
        <is>
          <t>Q1</t>
        </is>
      </c>
      <c r="D4" s="12" t="inlineStr">
        <is>
          <t>Q2</t>
        </is>
      </c>
      <c r="E4" s="12" t="inlineStr">
        <is>
          <t>Q3</t>
        </is>
      </c>
      <c r="F4" s="12" t="inlineStr">
        <is>
          <t>Q4</t>
        </is>
      </c>
      <c r="G4" s="12" t="inlineStr">
        <is>
          <t>Q5</t>
        </is>
      </c>
      <c r="H4" s="12" t="inlineStr">
        <is>
          <t>Q6</t>
        </is>
      </c>
      <c r="I4" s="12" t="inlineStr">
        <is>
          <t>Q7</t>
        </is>
      </c>
      <c r="J4" s="12" t="inlineStr">
        <is>
          <t>Q8</t>
        </is>
      </c>
      <c r="K4" s="12" t="inlineStr">
        <is>
          <t>Q9</t>
        </is>
      </c>
      <c r="L4" s="12" t="inlineStr">
        <is>
          <t>Q10</t>
        </is>
      </c>
      <c r="M4" s="17" t="inlineStr">
        <is>
          <t>Literacy (of 10)</t>
        </is>
      </c>
      <c r="N4" s="12" t="inlineStr">
        <is>
          <t>Delegation</t>
        </is>
      </c>
      <c r="O4" s="12" t="inlineStr">
        <is>
          <t>Inquiry</t>
        </is>
      </c>
      <c r="P4" s="12" t="inlineStr">
        <is>
          <t>Output interrogation</t>
        </is>
      </c>
      <c r="Q4" s="12" t="inlineStr">
        <is>
          <t>Verification judgment</t>
        </is>
      </c>
      <c r="R4" s="12" t="inlineStr">
        <is>
          <t>Coaching</t>
        </is>
      </c>
      <c r="S4" s="12" t="inlineStr">
        <is>
          <t>Reinvestment discipline</t>
        </is>
      </c>
      <c r="T4" s="17" t="inlineStr">
        <is>
          <t>Capability (avg)</t>
        </is>
      </c>
      <c r="U4" s="17" t="inlineStr">
        <is>
          <t>Weakest skill</t>
        </is>
      </c>
      <c r="V4" s="17" t="inlineStr">
        <is>
          <t>Quadrant</t>
        </is>
      </c>
      <c r="W4" s="17" t="inlineStr">
        <is>
          <t>The plan</t>
        </is>
      </c>
      <c r="X4" s="17" t="inlineStr">
        <is>
          <t>Autonomy</t>
        </is>
      </c>
      <c r="Y4" s="12" t="inlineStr">
        <is>
          <t>Notes</t>
        </is>
      </c>
    </row>
    <row r="5">
      <c r="A5" s="18" t="inlineStr">
        <is>
          <t>Recruiting manager</t>
        </is>
      </c>
      <c r="B5" s="18" t="inlineStr">
        <is>
          <t>Manager</t>
        </is>
      </c>
      <c r="C5" s="19" t="inlineStr">
        <is>
          <t>A</t>
        </is>
      </c>
      <c r="D5" s="19" t="inlineStr">
        <is>
          <t>A</t>
        </is>
      </c>
      <c r="E5" s="19" t="inlineStr">
        <is>
          <t>A</t>
        </is>
      </c>
      <c r="F5" s="19" t="inlineStr">
        <is>
          <t>A</t>
        </is>
      </c>
      <c r="G5" s="19" t="inlineStr">
        <is>
          <t>A</t>
        </is>
      </c>
      <c r="H5" s="19" t="inlineStr">
        <is>
          <t>A</t>
        </is>
      </c>
      <c r="I5" s="19" t="inlineStr">
        <is>
          <t>A</t>
        </is>
      </c>
      <c r="J5" s="19" t="inlineStr">
        <is>
          <t>A</t>
        </is>
      </c>
      <c r="K5" s="19" t="inlineStr">
        <is>
          <t>A</t>
        </is>
      </c>
      <c r="L5" s="19" t="inlineStr">
        <is>
          <t>A</t>
        </is>
      </c>
      <c r="M5" s="20">
        <f>IF(A5="","",IF(COUNTA(C5:L5)&lt;10,"",IF(UPPER(TRIM(C5))='Answer Key'!$B$1,1,0)+IF(UPPER(TRIM(D5))='Answer Key'!$B$2,1,0)+IF(UPPER(TRIM(E5))='Answer Key'!$B$3,1,0)+IF(UPPER(TRIM(F5))='Answer Key'!$B$4,1,0)+IF(UPPER(TRIM(G5))='Answer Key'!$B$5,1,0)+IF(UPPER(TRIM(H5))='Answer Key'!$B$6,1,0)+IF(UPPER(TRIM(I5))='Answer Key'!$B$7,1,0)+IF(UPPER(TRIM(J5))='Answer Key'!$B$8,1,0)+IF(UPPER(TRIM(K5))='Answer Key'!$B$9,1,0)+IF(UPPER(TRIM(L5))='Answer Key'!$B$10,1,0)))</f>
        <v/>
      </c>
      <c r="N5" s="19" t="n">
        <v>3</v>
      </c>
      <c r="O5" s="19" t="n">
        <v>3</v>
      </c>
      <c r="P5" s="19" t="n">
        <v>3</v>
      </c>
      <c r="Q5" s="19" t="n">
        <v>3</v>
      </c>
      <c r="R5" s="19" t="n">
        <v>2</v>
      </c>
      <c r="S5" s="19" t="n">
        <v>3</v>
      </c>
      <c r="T5" s="14">
        <f>IF(A5="","",IF(COUNT(N5:S5)&lt;6,"",ROUND(AVERAGE(N5:S5),1)))</f>
        <v/>
      </c>
      <c r="U5" s="14">
        <f>IF(T5="","",INDEX($N$4:$S$4,MATCH(MIN(N5:S5),N5:S5,0)))</f>
        <v/>
      </c>
      <c r="V5" s="14">
        <f>IF(OR(M5="",T5=""),"",IF(M5&gt;=8,IF(T5&gt;=2.5,"Operator","Confident beginner"),IF(T5&gt;=2.5,"Natural","Honest beginner")))</f>
        <v/>
      </c>
      <c r="W5" s="14">
        <f>IF(V5="","",IF(V5="Operator","Teach. Run the after-action review.",IF(V5="Natural","Vocabulary only. Judgment already transfers.",IF(V5="Honest beginner","The full sequence: terms, then scenarios, then rehearsal.","Scenarios first, autonomy last, whatever their confidence says."))))</f>
        <v/>
      </c>
      <c r="X5" s="14">
        <f>IF(V5="","",IF(T5&gt;=2.5,"Grant on evidence",IF(T5&gt;=2,"Supervised","Hold")))</f>
        <v/>
      </c>
      <c r="Y5" s="18" t="n"/>
      <c r="Z5" s="18" t="inlineStr">
        <is>
          <t>Should run the next after-action review.</t>
        </is>
      </c>
    </row>
    <row r="6">
      <c r="A6" s="18" t="inlineStr">
        <is>
          <t>Senior recruiter</t>
        </is>
      </c>
      <c r="B6" s="18" t="inlineStr">
        <is>
          <t>Individual contributor</t>
        </is>
      </c>
      <c r="C6" s="19" t="inlineStr">
        <is>
          <t>A</t>
        </is>
      </c>
      <c r="D6" s="19" t="inlineStr">
        <is>
          <t>B</t>
        </is>
      </c>
      <c r="E6" s="19" t="inlineStr">
        <is>
          <t>A</t>
        </is>
      </c>
      <c r="F6" s="19" t="inlineStr">
        <is>
          <t>A</t>
        </is>
      </c>
      <c r="G6" s="19" t="inlineStr">
        <is>
          <t>A</t>
        </is>
      </c>
      <c r="H6" s="19" t="inlineStr">
        <is>
          <t>A</t>
        </is>
      </c>
      <c r="I6" s="19" t="inlineStr">
        <is>
          <t>A</t>
        </is>
      </c>
      <c r="J6" s="19" t="inlineStr">
        <is>
          <t>A</t>
        </is>
      </c>
      <c r="K6" s="19" t="inlineStr">
        <is>
          <t>A</t>
        </is>
      </c>
      <c r="L6" s="19" t="inlineStr">
        <is>
          <t>B</t>
        </is>
      </c>
      <c r="M6" s="20">
        <f>IF(A6="","",IF(COUNTA(C6:L6)&lt;10,"",IF(UPPER(TRIM(C6))='Answer Key'!$B$1,1,0)+IF(UPPER(TRIM(D6))='Answer Key'!$B$2,1,0)+IF(UPPER(TRIM(E6))='Answer Key'!$B$3,1,0)+IF(UPPER(TRIM(F6))='Answer Key'!$B$4,1,0)+IF(UPPER(TRIM(G6))='Answer Key'!$B$5,1,0)+IF(UPPER(TRIM(H6))='Answer Key'!$B$6,1,0)+IF(UPPER(TRIM(I6))='Answer Key'!$B$7,1,0)+IF(UPPER(TRIM(J6))='Answer Key'!$B$8,1,0)+IF(UPPER(TRIM(K6))='Answer Key'!$B$9,1,0)+IF(UPPER(TRIM(L6))='Answer Key'!$B$10,1,0)))</f>
        <v/>
      </c>
      <c r="N6" s="19" t="n">
        <v>3</v>
      </c>
      <c r="O6" s="19" t="n">
        <v>3</v>
      </c>
      <c r="P6" s="19" t="n">
        <v>2</v>
      </c>
      <c r="Q6" s="19" t="n">
        <v>3</v>
      </c>
      <c r="R6" s="19" t="n">
        <v>2</v>
      </c>
      <c r="S6" s="19" t="n">
        <v>2</v>
      </c>
      <c r="T6" s="14">
        <f>IF(A6="","",IF(COUNT(N6:S6)&lt;6,"",ROUND(AVERAGE(N6:S6),1)))</f>
        <v/>
      </c>
      <c r="U6" s="14">
        <f>IF(T6="","",INDEX($N$4:$S$4,MATCH(MIN(N6:S6),N6:S6,0)))</f>
        <v/>
      </c>
      <c r="V6" s="14">
        <f>IF(OR(M6="",T6=""),"",IF(M6&gt;=8,IF(T6&gt;=2.5,"Operator","Confident beginner"),IF(T6&gt;=2.5,"Natural","Honest beginner")))</f>
        <v/>
      </c>
      <c r="W6" s="14">
        <f>IF(V6="","",IF(V6="Operator","Teach. Run the after-action review.",IF(V6="Natural","Vocabulary only. Judgment already transfers.",IF(V6="Honest beginner","The full sequence: terms, then scenarios, then rehearsal.","Scenarios first, autonomy last, whatever their confidence says."))))</f>
        <v/>
      </c>
      <c r="X6" s="14">
        <f>IF(V6="","",IF(T6&gt;=2.5,"Grant on evidence",IF(T6&gt;=2,"Supervised","Hold")))</f>
        <v/>
      </c>
      <c r="Y6" s="18" t="n"/>
      <c r="Z6" s="18" t="n"/>
    </row>
    <row r="7">
      <c r="A7" s="18" t="inlineStr">
        <is>
          <t>Recruiter</t>
        </is>
      </c>
      <c r="B7" s="18" t="inlineStr">
        <is>
          <t>Individual contributor</t>
        </is>
      </c>
      <c r="C7" s="19" t="inlineStr">
        <is>
          <t>A</t>
        </is>
      </c>
      <c r="D7" s="19" t="inlineStr">
        <is>
          <t>A</t>
        </is>
      </c>
      <c r="E7" s="19" t="inlineStr">
        <is>
          <t>A</t>
        </is>
      </c>
      <c r="F7" s="19" t="inlineStr">
        <is>
          <t>A</t>
        </is>
      </c>
      <c r="G7" s="19" t="inlineStr">
        <is>
          <t>A</t>
        </is>
      </c>
      <c r="H7" s="19" t="inlineStr">
        <is>
          <t>A</t>
        </is>
      </c>
      <c r="I7" s="19" t="inlineStr">
        <is>
          <t>A</t>
        </is>
      </c>
      <c r="J7" s="19" t="inlineStr">
        <is>
          <t>A</t>
        </is>
      </c>
      <c r="K7" s="19" t="inlineStr">
        <is>
          <t>B</t>
        </is>
      </c>
      <c r="L7" s="19" t="inlineStr">
        <is>
          <t>A</t>
        </is>
      </c>
      <c r="M7" s="20">
        <f>IF(A7="","",IF(COUNTA(C7:L7)&lt;10,"",IF(UPPER(TRIM(C7))='Answer Key'!$B$1,1,0)+IF(UPPER(TRIM(D7))='Answer Key'!$B$2,1,0)+IF(UPPER(TRIM(E7))='Answer Key'!$B$3,1,0)+IF(UPPER(TRIM(F7))='Answer Key'!$B$4,1,0)+IF(UPPER(TRIM(G7))='Answer Key'!$B$5,1,0)+IF(UPPER(TRIM(H7))='Answer Key'!$B$6,1,0)+IF(UPPER(TRIM(I7))='Answer Key'!$B$7,1,0)+IF(UPPER(TRIM(J7))='Answer Key'!$B$8,1,0)+IF(UPPER(TRIM(K7))='Answer Key'!$B$9,1,0)+IF(UPPER(TRIM(L7))='Answer Key'!$B$10,1,0)))</f>
        <v/>
      </c>
      <c r="N7" s="19" t="n">
        <v>1</v>
      </c>
      <c r="O7" s="19" t="n">
        <v>1</v>
      </c>
      <c r="P7" s="19" t="n">
        <v>1</v>
      </c>
      <c r="Q7" s="19" t="n">
        <v>1</v>
      </c>
      <c r="R7" s="19" t="n">
        <v>1</v>
      </c>
      <c r="S7" s="19" t="n">
        <v>1</v>
      </c>
      <c r="T7" s="14">
        <f>IF(A7="","",IF(COUNT(N7:S7)&lt;6,"",ROUND(AVERAGE(N7:S7),1)))</f>
        <v/>
      </c>
      <c r="U7" s="14">
        <f>IF(T7="","",INDEX($N$4:$S$4,MATCH(MIN(N7:S7),N7:S7,0)))</f>
        <v/>
      </c>
      <c r="V7" s="14">
        <f>IF(OR(M7="",T7=""),"",IF(M7&gt;=8,IF(T7&gt;=2.5,"Operator","Confident beginner"),IF(T7&gt;=2.5,"Natural","Honest beginner")))</f>
        <v/>
      </c>
      <c r="W7" s="14">
        <f>IF(V7="","",IF(V7="Operator","Teach. Run the after-action review.",IF(V7="Natural","Vocabulary only. Judgment already transfers.",IF(V7="Honest beginner","The full sequence: terms, then scenarios, then rehearsal.","Scenarios first, autonomy last, whatever their confidence says."))))</f>
        <v/>
      </c>
      <c r="X7" s="14">
        <f>IF(V7="","",IF(T7&gt;=2.5,"Grant on evidence",IF(T7&gt;=2,"Supervised","Hold")))</f>
        <v/>
      </c>
      <c r="Y7" s="18" t="n"/>
      <c r="Z7" s="18" t="inlineStr">
        <is>
          <t>Scored 9 on the quiz and forwarded the fabricated citation without reading it.</t>
        </is>
      </c>
    </row>
    <row r="8">
      <c r="A8" s="18" t="inlineStr">
        <is>
          <t>Recruiter</t>
        </is>
      </c>
      <c r="B8" s="18" t="inlineStr">
        <is>
          <t>Individual contributor</t>
        </is>
      </c>
      <c r="C8" s="19" t="inlineStr">
        <is>
          <t>A</t>
        </is>
      </c>
      <c r="D8" s="19" t="inlineStr">
        <is>
          <t>C</t>
        </is>
      </c>
      <c r="E8" s="19" t="inlineStr">
        <is>
          <t>B</t>
        </is>
      </c>
      <c r="F8" s="19" t="inlineStr">
        <is>
          <t>A</t>
        </is>
      </c>
      <c r="G8" s="19" t="inlineStr">
        <is>
          <t>B</t>
        </is>
      </c>
      <c r="H8" s="19" t="inlineStr">
        <is>
          <t>A</t>
        </is>
      </c>
      <c r="I8" s="19" t="inlineStr">
        <is>
          <t>A</t>
        </is>
      </c>
      <c r="J8" s="19" t="inlineStr">
        <is>
          <t>A</t>
        </is>
      </c>
      <c r="K8" s="19" t="inlineStr">
        <is>
          <t>A</t>
        </is>
      </c>
      <c r="L8" s="19" t="inlineStr">
        <is>
          <t>C</t>
        </is>
      </c>
      <c r="M8" s="20">
        <f>IF(A8="","",IF(COUNTA(C8:L8)&lt;10,"",IF(UPPER(TRIM(C8))='Answer Key'!$B$1,1,0)+IF(UPPER(TRIM(D8))='Answer Key'!$B$2,1,0)+IF(UPPER(TRIM(E8))='Answer Key'!$B$3,1,0)+IF(UPPER(TRIM(F8))='Answer Key'!$B$4,1,0)+IF(UPPER(TRIM(G8))='Answer Key'!$B$5,1,0)+IF(UPPER(TRIM(H8))='Answer Key'!$B$6,1,0)+IF(UPPER(TRIM(I8))='Answer Key'!$B$7,1,0)+IF(UPPER(TRIM(J8))='Answer Key'!$B$8,1,0)+IF(UPPER(TRIM(K8))='Answer Key'!$B$9,1,0)+IF(UPPER(TRIM(L8))='Answer Key'!$B$10,1,0)))</f>
        <v/>
      </c>
      <c r="N8" s="19" t="n">
        <v>3</v>
      </c>
      <c r="O8" s="19" t="n">
        <v>3</v>
      </c>
      <c r="P8" s="19" t="n">
        <v>3</v>
      </c>
      <c r="Q8" s="19" t="n">
        <v>3</v>
      </c>
      <c r="R8" s="19" t="n">
        <v>2</v>
      </c>
      <c r="S8" s="19" t="n">
        <v>2</v>
      </c>
      <c r="T8" s="14">
        <f>IF(A8="","",IF(COUNT(N8:S8)&lt;6,"",ROUND(AVERAGE(N8:S8),1)))</f>
        <v/>
      </c>
      <c r="U8" s="14">
        <f>IF(T8="","",INDEX($N$4:$S$4,MATCH(MIN(N8:S8),N8:S8,0)))</f>
        <v/>
      </c>
      <c r="V8" s="14">
        <f>IF(OR(M8="",T8=""),"",IF(M8&gt;=8,IF(T8&gt;=2.5,"Operator","Confident beginner"),IF(T8&gt;=2.5,"Natural","Honest beginner")))</f>
        <v/>
      </c>
      <c r="W8" s="14">
        <f>IF(V8="","",IF(V8="Operator","Teach. Run the after-action review.",IF(V8="Natural","Vocabulary only. Judgment already transfers.",IF(V8="Honest beginner","The full sequence: terms, then scenarios, then rehearsal.","Scenarios first, autonomy last, whatever their confidence says."))))</f>
        <v/>
      </c>
      <c r="X8" s="14">
        <f>IF(V8="","",IF(T8&gt;=2.5,"Grant on evidence",IF(T8&gt;=2,"Supervised","Hold")))</f>
        <v/>
      </c>
      <c r="Y8" s="18" t="n"/>
      <c r="Z8" s="18" t="inlineStr">
        <is>
          <t>Caught the fabrication in under a minute. Could not define grounding.</t>
        </is>
      </c>
    </row>
    <row r="9">
      <c r="A9" s="18" t="inlineStr">
        <is>
          <t>Recruiting coordinator</t>
        </is>
      </c>
      <c r="B9" s="18" t="inlineStr">
        <is>
          <t>Individual contributor</t>
        </is>
      </c>
      <c r="C9" s="19" t="inlineStr">
        <is>
          <t>B</t>
        </is>
      </c>
      <c r="D9" s="19" t="inlineStr">
        <is>
          <t>C</t>
        </is>
      </c>
      <c r="E9" s="19" t="inlineStr">
        <is>
          <t>B</t>
        </is>
      </c>
      <c r="F9" s="19" t="inlineStr">
        <is>
          <t>B</t>
        </is>
      </c>
      <c r="G9" s="19" t="inlineStr">
        <is>
          <t>C</t>
        </is>
      </c>
      <c r="H9" s="19" t="inlineStr">
        <is>
          <t>B</t>
        </is>
      </c>
      <c r="I9" s="19" t="inlineStr">
        <is>
          <t>A</t>
        </is>
      </c>
      <c r="J9" s="19" t="inlineStr">
        <is>
          <t>A</t>
        </is>
      </c>
      <c r="K9" s="19" t="inlineStr">
        <is>
          <t>B</t>
        </is>
      </c>
      <c r="L9" s="19" t="inlineStr">
        <is>
          <t>C</t>
        </is>
      </c>
      <c r="M9" s="20">
        <f>IF(A9="","",IF(COUNTA(C9:L9)&lt;10,"",IF(UPPER(TRIM(C9))='Answer Key'!$B$1,1,0)+IF(UPPER(TRIM(D9))='Answer Key'!$B$2,1,0)+IF(UPPER(TRIM(E9))='Answer Key'!$B$3,1,0)+IF(UPPER(TRIM(F9))='Answer Key'!$B$4,1,0)+IF(UPPER(TRIM(G9))='Answer Key'!$B$5,1,0)+IF(UPPER(TRIM(H9))='Answer Key'!$B$6,1,0)+IF(UPPER(TRIM(I9))='Answer Key'!$B$7,1,0)+IF(UPPER(TRIM(J9))='Answer Key'!$B$8,1,0)+IF(UPPER(TRIM(K9))='Answer Key'!$B$9,1,0)+IF(UPPER(TRIM(L9))='Answer Key'!$B$10,1,0)))</f>
        <v/>
      </c>
      <c r="N9" s="19" t="n">
        <v>1</v>
      </c>
      <c r="O9" s="19" t="n">
        <v>2</v>
      </c>
      <c r="P9" s="19" t="n">
        <v>1</v>
      </c>
      <c r="Q9" s="19" t="n">
        <v>1</v>
      </c>
      <c r="R9" s="19" t="n">
        <v>1</v>
      </c>
      <c r="S9" s="19" t="n">
        <v>1</v>
      </c>
      <c r="T9" s="14">
        <f>IF(A9="","",IF(COUNT(N9:S9)&lt;6,"",ROUND(AVERAGE(N9:S9),1)))</f>
        <v/>
      </c>
      <c r="U9" s="14">
        <f>IF(T9="","",INDEX($N$4:$S$4,MATCH(MIN(N9:S9),N9:S9,0)))</f>
        <v/>
      </c>
      <c r="V9" s="14">
        <f>IF(OR(M9="",T9=""),"",IF(M9&gt;=8,IF(T9&gt;=2.5,"Operator","Confident beginner"),IF(T9&gt;=2.5,"Natural","Honest beginner")))</f>
        <v/>
      </c>
      <c r="W9" s="14">
        <f>IF(V9="","",IF(V9="Operator","Teach. Run the after-action review.",IF(V9="Natural","Vocabulary only. Judgment already transfers.",IF(V9="Honest beginner","The full sequence: terms, then scenarios, then rehearsal.","Scenarios first, autonomy last, whatever their confidence says."))))</f>
        <v/>
      </c>
      <c r="X9" s="14">
        <f>IF(V9="","",IF(T9&gt;=2.5,"Grant on evidence",IF(T9&gt;=2,"Supervised","Hold")))</f>
        <v/>
      </c>
      <c r="Y9" s="18" t="n"/>
      <c r="Z9" s="18" t="inlineStr">
        <is>
          <t>Asked for the five terms by name. Honest about the gap.</t>
        </is>
      </c>
    </row>
    <row r="10">
      <c r="A10" s="18" t="inlineStr">
        <is>
          <t>Sourcer</t>
        </is>
      </c>
      <c r="B10" s="18" t="inlineStr">
        <is>
          <t>Individual contributor</t>
        </is>
      </c>
      <c r="C10" s="19" t="inlineStr">
        <is>
          <t>A</t>
        </is>
      </c>
      <c r="D10" s="19" t="inlineStr">
        <is>
          <t>A</t>
        </is>
      </c>
      <c r="E10" s="19" t="inlineStr">
        <is>
          <t>A</t>
        </is>
      </c>
      <c r="F10" s="19" t="inlineStr">
        <is>
          <t>B</t>
        </is>
      </c>
      <c r="G10" s="19" t="inlineStr">
        <is>
          <t>A</t>
        </is>
      </c>
      <c r="H10" s="19" t="inlineStr">
        <is>
          <t>A</t>
        </is>
      </c>
      <c r="I10" s="19" t="inlineStr">
        <is>
          <t>A</t>
        </is>
      </c>
      <c r="J10" s="19" t="inlineStr">
        <is>
          <t>A</t>
        </is>
      </c>
      <c r="K10" s="19" t="inlineStr">
        <is>
          <t>A</t>
        </is>
      </c>
      <c r="L10" s="19" t="inlineStr">
        <is>
          <t>A</t>
        </is>
      </c>
      <c r="M10" s="20">
        <f>IF(A10="","",IF(COUNTA(C10:L10)&lt;10,"",IF(UPPER(TRIM(C10))='Answer Key'!$B$1,1,0)+IF(UPPER(TRIM(D10))='Answer Key'!$B$2,1,0)+IF(UPPER(TRIM(E10))='Answer Key'!$B$3,1,0)+IF(UPPER(TRIM(F10))='Answer Key'!$B$4,1,0)+IF(UPPER(TRIM(G10))='Answer Key'!$B$5,1,0)+IF(UPPER(TRIM(H10))='Answer Key'!$B$6,1,0)+IF(UPPER(TRIM(I10))='Answer Key'!$B$7,1,0)+IF(UPPER(TRIM(J10))='Answer Key'!$B$8,1,0)+IF(UPPER(TRIM(K10))='Answer Key'!$B$9,1,0)+IF(UPPER(TRIM(L10))='Answer Key'!$B$10,1,0)))</f>
        <v/>
      </c>
      <c r="N10" s="19" t="n">
        <v>2</v>
      </c>
      <c r="O10" s="19" t="n">
        <v>1</v>
      </c>
      <c r="P10" s="19" t="n">
        <v>1</v>
      </c>
      <c r="Q10" s="19" t="n">
        <v>2</v>
      </c>
      <c r="R10" s="19" t="n">
        <v>1</v>
      </c>
      <c r="S10" s="19" t="n">
        <v>1</v>
      </c>
      <c r="T10" s="14">
        <f>IF(A10="","",IF(COUNT(N10:S10)&lt;6,"",ROUND(AVERAGE(N10:S10),1)))</f>
        <v/>
      </c>
      <c r="U10" s="14">
        <f>IF(T10="","",INDEX($N$4:$S$4,MATCH(MIN(N10:S10),N10:S10,0)))</f>
        <v/>
      </c>
      <c r="V10" s="14">
        <f>IF(OR(M10="",T10=""),"",IF(M10&gt;=8,IF(T10&gt;=2.5,"Operator","Confident beginner"),IF(T10&gt;=2.5,"Natural","Honest beginner")))</f>
        <v/>
      </c>
      <c r="W10" s="14">
        <f>IF(V10="","",IF(V10="Operator","Teach. Run the after-action review.",IF(V10="Natural","Vocabulary only. Judgment already transfers.",IF(V10="Honest beginner","The full sequence: terms, then scenarios, then rehearsal.","Scenarios first, autonomy last, whatever their confidence says."))))</f>
        <v/>
      </c>
      <c r="X10" s="14">
        <f>IF(V10="","",IF(T10&gt;=2.5,"Grant on evidence",IF(T10&gt;=2,"Supervised","Hold")))</f>
        <v/>
      </c>
      <c r="Y10" s="18" t="n"/>
      <c r="Z10" s="18" t="inlineStr">
        <is>
          <t>Admired the prose. Did not check the citation.</t>
        </is>
      </c>
    </row>
    <row r="11">
      <c r="A11" s="18" t="inlineStr">
        <is>
          <t>Recruiting coordinator</t>
        </is>
      </c>
      <c r="B11" s="18" t="inlineStr">
        <is>
          <t>Individual contributor</t>
        </is>
      </c>
      <c r="C11" s="19" t="inlineStr">
        <is>
          <t>B</t>
        </is>
      </c>
      <c r="D11" s="19" t="inlineStr">
        <is>
          <t>B</t>
        </is>
      </c>
      <c r="E11" s="19" t="inlineStr">
        <is>
          <t>A</t>
        </is>
      </c>
      <c r="F11" s="19" t="inlineStr">
        <is>
          <t>B</t>
        </is>
      </c>
      <c r="G11" s="19" t="inlineStr">
        <is>
          <t>B</t>
        </is>
      </c>
      <c r="H11" s="19" t="inlineStr">
        <is>
          <t>C</t>
        </is>
      </c>
      <c r="I11" s="19" t="inlineStr">
        <is>
          <t>A</t>
        </is>
      </c>
      <c r="J11" s="19" t="inlineStr">
        <is>
          <t>B</t>
        </is>
      </c>
      <c r="K11" s="19" t="inlineStr">
        <is>
          <t>A</t>
        </is>
      </c>
      <c r="L11" s="19" t="inlineStr">
        <is>
          <t>C</t>
        </is>
      </c>
      <c r="M11" s="20">
        <f>IF(A11="","",IF(COUNTA(C11:L11)&lt;10,"",IF(UPPER(TRIM(C11))='Answer Key'!$B$1,1,0)+IF(UPPER(TRIM(D11))='Answer Key'!$B$2,1,0)+IF(UPPER(TRIM(E11))='Answer Key'!$B$3,1,0)+IF(UPPER(TRIM(F11))='Answer Key'!$B$4,1,0)+IF(UPPER(TRIM(G11))='Answer Key'!$B$5,1,0)+IF(UPPER(TRIM(H11))='Answer Key'!$B$6,1,0)+IF(UPPER(TRIM(I11))='Answer Key'!$B$7,1,0)+IF(UPPER(TRIM(J11))='Answer Key'!$B$8,1,0)+IF(UPPER(TRIM(K11))='Answer Key'!$B$9,1,0)+IF(UPPER(TRIM(L11))='Answer Key'!$B$10,1,0)))</f>
        <v/>
      </c>
      <c r="N11" s="19" t="n">
        <v>2</v>
      </c>
      <c r="O11" s="19" t="n">
        <v>3</v>
      </c>
      <c r="P11" s="19" t="n">
        <v>3</v>
      </c>
      <c r="Q11" s="19" t="n">
        <v>3</v>
      </c>
      <c r="R11" s="19" t="n">
        <v>2</v>
      </c>
      <c r="S11" s="19" t="n">
        <v>1</v>
      </c>
      <c r="T11" s="14">
        <f>IF(A11="","",IF(COUNT(N11:S11)&lt;6,"",ROUND(AVERAGE(N11:S11),1)))</f>
        <v/>
      </c>
      <c r="U11" s="14">
        <f>IF(T11="","",INDEX($N$4:$S$4,MATCH(MIN(N11:S11),N11:S11,0)))</f>
        <v/>
      </c>
      <c r="V11" s="14">
        <f>IF(OR(M11="",T11=""),"",IF(M11&gt;=8,IF(T11&gt;=2.5,"Operator","Confident beginner"),IF(T11&gt;=2.5,"Natural","Honest beginner")))</f>
        <v/>
      </c>
      <c r="W11" s="14">
        <f>IF(V11="","",IF(V11="Operator","Teach. Run the after-action review.",IF(V11="Natural","Vocabulary only. Judgment already transfers.",IF(V11="Honest beginner","The full sequence: terms, then scenarios, then rehearsal.","Scenarios first, autonomy last, whatever their confidence says."))))</f>
        <v/>
      </c>
      <c r="X11" s="14">
        <f>IF(V11="","",IF(T11&gt;=2.5,"Grant on evidence",IF(T11&gt;=2,"Supervised","Hold")))</f>
        <v/>
      </c>
      <c r="Y11" s="18" t="n"/>
      <c r="Z11" s="18" t="n"/>
    </row>
    <row r="12">
      <c r="A12" s="18" t="inlineStr">
        <is>
          <t>HR business partner</t>
        </is>
      </c>
      <c r="B12" s="18" t="inlineStr">
        <is>
          <t>Manager</t>
        </is>
      </c>
      <c r="C12" s="19" t="inlineStr">
        <is>
          <t>A</t>
        </is>
      </c>
      <c r="D12" s="19" t="inlineStr">
        <is>
          <t>A</t>
        </is>
      </c>
      <c r="E12" s="19" t="inlineStr">
        <is>
          <t>A</t>
        </is>
      </c>
      <c r="F12" s="19" t="inlineStr">
        <is>
          <t>A</t>
        </is>
      </c>
      <c r="G12" s="19" t="inlineStr">
        <is>
          <t>A</t>
        </is>
      </c>
      <c r="H12" s="19" t="inlineStr">
        <is>
          <t>A</t>
        </is>
      </c>
      <c r="I12" s="19" t="inlineStr">
        <is>
          <t>A</t>
        </is>
      </c>
      <c r="J12" s="19" t="inlineStr">
        <is>
          <t>B</t>
        </is>
      </c>
      <c r="K12" s="19" t="inlineStr">
        <is>
          <t>A</t>
        </is>
      </c>
      <c r="L12" s="19" t="inlineStr">
        <is>
          <t>A</t>
        </is>
      </c>
      <c r="M12" s="20">
        <f>IF(A12="","",IF(COUNTA(C12:L12)&lt;10,"",IF(UPPER(TRIM(C12))='Answer Key'!$B$1,1,0)+IF(UPPER(TRIM(D12))='Answer Key'!$B$2,1,0)+IF(UPPER(TRIM(E12))='Answer Key'!$B$3,1,0)+IF(UPPER(TRIM(F12))='Answer Key'!$B$4,1,0)+IF(UPPER(TRIM(G12))='Answer Key'!$B$5,1,0)+IF(UPPER(TRIM(H12))='Answer Key'!$B$6,1,0)+IF(UPPER(TRIM(I12))='Answer Key'!$B$7,1,0)+IF(UPPER(TRIM(J12))='Answer Key'!$B$8,1,0)+IF(UPPER(TRIM(K12))='Answer Key'!$B$9,1,0)+IF(UPPER(TRIM(L12))='Answer Key'!$B$10,1,0)))</f>
        <v/>
      </c>
      <c r="N12" s="19" t="n">
        <v>2</v>
      </c>
      <c r="O12" s="19" t="n">
        <v>2</v>
      </c>
      <c r="P12" s="19" t="n">
        <v>2</v>
      </c>
      <c r="Q12" s="19" t="n">
        <v>2</v>
      </c>
      <c r="R12" s="19" t="n">
        <v>3</v>
      </c>
      <c r="S12" s="19" t="n">
        <v>2</v>
      </c>
      <c r="T12" s="14">
        <f>IF(A12="","",IF(COUNT(N12:S12)&lt;6,"",ROUND(AVERAGE(N12:S12),1)))</f>
        <v/>
      </c>
      <c r="U12" s="14">
        <f>IF(T12="","",INDEX($N$4:$S$4,MATCH(MIN(N12:S12),N12:S12,0)))</f>
        <v/>
      </c>
      <c r="V12" s="14">
        <f>IF(OR(M12="",T12=""),"",IF(M12&gt;=8,IF(T12&gt;=2.5,"Operator","Confident beginner"),IF(T12&gt;=2.5,"Natural","Honest beginner")))</f>
        <v/>
      </c>
      <c r="W12" s="14">
        <f>IF(V12="","",IF(V12="Operator","Teach. Run the after-action review.",IF(V12="Natural","Vocabulary only. Judgment already transfers.",IF(V12="Honest beginner","The full sequence: terms, then scenarios, then rehearsal.","Scenarios first, autonomy last, whatever their confidence says."))))</f>
        <v/>
      </c>
      <c r="X12" s="14">
        <f>IF(V12="","",IF(T12&gt;=2.5,"Grant on evidence",IF(T12&gt;=2,"Supervised","Hold")))</f>
        <v/>
      </c>
      <c r="Y12" s="18" t="n"/>
      <c r="Z12" s="18" t="inlineStr">
        <is>
          <t>Good coach. Over-checks low-stakes output.</t>
        </is>
      </c>
    </row>
    <row r="13">
      <c r="A13" s="18" t="n"/>
      <c r="B13" s="18" t="n"/>
      <c r="C13" s="19" t="n"/>
      <c r="D13" s="19" t="n"/>
      <c r="E13" s="19" t="n"/>
      <c r="F13" s="19" t="n"/>
      <c r="G13" s="19" t="n"/>
      <c r="H13" s="19" t="n"/>
      <c r="I13" s="19" t="n"/>
      <c r="J13" s="19" t="n"/>
      <c r="K13" s="19" t="n"/>
      <c r="L13" s="19" t="n"/>
      <c r="M13" s="20">
        <f>IF(A13="","",IF(COUNTA(C13:L13)&lt;10,"",IF(UPPER(TRIM(C13))='Answer Key'!$B$1,1,0)+IF(UPPER(TRIM(D13))='Answer Key'!$B$2,1,0)+IF(UPPER(TRIM(E13))='Answer Key'!$B$3,1,0)+IF(UPPER(TRIM(F13))='Answer Key'!$B$4,1,0)+IF(UPPER(TRIM(G13))='Answer Key'!$B$5,1,0)+IF(UPPER(TRIM(H13))='Answer Key'!$B$6,1,0)+IF(UPPER(TRIM(I13))='Answer Key'!$B$7,1,0)+IF(UPPER(TRIM(J13))='Answer Key'!$B$8,1,0)+IF(UPPER(TRIM(K13))='Answer Key'!$B$9,1,0)+IF(UPPER(TRIM(L13))='Answer Key'!$B$10,1,0)))</f>
        <v/>
      </c>
      <c r="N13" s="19" t="n"/>
      <c r="O13" s="19" t="n"/>
      <c r="P13" s="19" t="n"/>
      <c r="Q13" s="19" t="n"/>
      <c r="R13" s="19" t="n"/>
      <c r="S13" s="19" t="n"/>
      <c r="T13" s="14">
        <f>IF(A13="","",IF(COUNT(N13:S13)&lt;6,"",ROUND(AVERAGE(N13:S13),1)))</f>
        <v/>
      </c>
      <c r="U13" s="14">
        <f>IF(T13="","",INDEX($N$4:$S$4,MATCH(MIN(N13:S13),N13:S13,0)))</f>
        <v/>
      </c>
      <c r="V13" s="14">
        <f>IF(OR(M13="",T13=""),"",IF(M13&gt;=8,IF(T13&gt;=2.5,"Operator","Confident beginner"),IF(T13&gt;=2.5,"Natural","Honest beginner")))</f>
        <v/>
      </c>
      <c r="W13" s="14">
        <f>IF(V13="","",IF(V13="Operator","Teach. Run the after-action review.",IF(V13="Natural","Vocabulary only. Judgment already transfers.",IF(V13="Honest beginner","The full sequence: terms, then scenarios, then rehearsal.","Scenarios first, autonomy last, whatever their confidence says."))))</f>
        <v/>
      </c>
      <c r="X13" s="14">
        <f>IF(V13="","",IF(T13&gt;=2.5,"Grant on evidence",IF(T13&gt;=2,"Supervised","Hold")))</f>
        <v/>
      </c>
      <c r="Y13" s="18" t="n"/>
      <c r="Z13" s="18" t="n"/>
    </row>
    <row r="14">
      <c r="A14" s="18" t="n"/>
      <c r="B14" s="18" t="n"/>
      <c r="C14" s="19" t="n"/>
      <c r="D14" s="19" t="n"/>
      <c r="E14" s="19" t="n"/>
      <c r="F14" s="19" t="n"/>
      <c r="G14" s="19" t="n"/>
      <c r="H14" s="19" t="n"/>
      <c r="I14" s="19" t="n"/>
      <c r="J14" s="19" t="n"/>
      <c r="K14" s="19" t="n"/>
      <c r="L14" s="19" t="n"/>
      <c r="M14" s="20">
        <f>IF(A14="","",IF(COUNTA(C14:L14)&lt;10,"",IF(UPPER(TRIM(C14))='Answer Key'!$B$1,1,0)+IF(UPPER(TRIM(D14))='Answer Key'!$B$2,1,0)+IF(UPPER(TRIM(E14))='Answer Key'!$B$3,1,0)+IF(UPPER(TRIM(F14))='Answer Key'!$B$4,1,0)+IF(UPPER(TRIM(G14))='Answer Key'!$B$5,1,0)+IF(UPPER(TRIM(H14))='Answer Key'!$B$6,1,0)+IF(UPPER(TRIM(I14))='Answer Key'!$B$7,1,0)+IF(UPPER(TRIM(J14))='Answer Key'!$B$8,1,0)+IF(UPPER(TRIM(K14))='Answer Key'!$B$9,1,0)+IF(UPPER(TRIM(L14))='Answer Key'!$B$10,1,0)))</f>
        <v/>
      </c>
      <c r="N14" s="19" t="n"/>
      <c r="O14" s="19" t="n"/>
      <c r="P14" s="19" t="n"/>
      <c r="Q14" s="19" t="n"/>
      <c r="R14" s="19" t="n"/>
      <c r="S14" s="19" t="n"/>
      <c r="T14" s="14">
        <f>IF(A14="","",IF(COUNT(N14:S14)&lt;6,"",ROUND(AVERAGE(N14:S14),1)))</f>
        <v/>
      </c>
      <c r="U14" s="14">
        <f>IF(T14="","",INDEX($N$4:$S$4,MATCH(MIN(N14:S14),N14:S14,0)))</f>
        <v/>
      </c>
      <c r="V14" s="14">
        <f>IF(OR(M14="",T14=""),"",IF(M14&gt;=8,IF(T14&gt;=2.5,"Operator","Confident beginner"),IF(T14&gt;=2.5,"Natural","Honest beginner")))</f>
        <v/>
      </c>
      <c r="W14" s="14">
        <f>IF(V14="","",IF(V14="Operator","Teach. Run the after-action review.",IF(V14="Natural","Vocabulary only. Judgment already transfers.",IF(V14="Honest beginner","The full sequence: terms, then scenarios, then rehearsal.","Scenarios first, autonomy last, whatever their confidence says."))))</f>
        <v/>
      </c>
      <c r="X14" s="14">
        <f>IF(V14="","",IF(T14&gt;=2.5,"Grant on evidence",IF(T14&gt;=2,"Supervised","Hold")))</f>
        <v/>
      </c>
      <c r="Y14" s="18" t="n"/>
      <c r="Z14" s="18" t="n"/>
    </row>
    <row r="15">
      <c r="A15" s="18" t="n"/>
      <c r="B15" s="18" t="n"/>
      <c r="C15" s="19" t="n"/>
      <c r="D15" s="19" t="n"/>
      <c r="E15" s="19" t="n"/>
      <c r="F15" s="19" t="n"/>
      <c r="G15" s="19" t="n"/>
      <c r="H15" s="19" t="n"/>
      <c r="I15" s="19" t="n"/>
      <c r="J15" s="19" t="n"/>
      <c r="K15" s="19" t="n"/>
      <c r="L15" s="19" t="n"/>
      <c r="M15" s="20">
        <f>IF(A15="","",IF(COUNTA(C15:L15)&lt;10,"",IF(UPPER(TRIM(C15))='Answer Key'!$B$1,1,0)+IF(UPPER(TRIM(D15))='Answer Key'!$B$2,1,0)+IF(UPPER(TRIM(E15))='Answer Key'!$B$3,1,0)+IF(UPPER(TRIM(F15))='Answer Key'!$B$4,1,0)+IF(UPPER(TRIM(G15))='Answer Key'!$B$5,1,0)+IF(UPPER(TRIM(H15))='Answer Key'!$B$6,1,0)+IF(UPPER(TRIM(I15))='Answer Key'!$B$7,1,0)+IF(UPPER(TRIM(J15))='Answer Key'!$B$8,1,0)+IF(UPPER(TRIM(K15))='Answer Key'!$B$9,1,0)+IF(UPPER(TRIM(L15))='Answer Key'!$B$10,1,0)))</f>
        <v/>
      </c>
      <c r="N15" s="19" t="n"/>
      <c r="O15" s="19" t="n"/>
      <c r="P15" s="19" t="n"/>
      <c r="Q15" s="19" t="n"/>
      <c r="R15" s="19" t="n"/>
      <c r="S15" s="19" t="n"/>
      <c r="T15" s="14">
        <f>IF(A15="","",IF(COUNT(N15:S15)&lt;6,"",ROUND(AVERAGE(N15:S15),1)))</f>
        <v/>
      </c>
      <c r="U15" s="14">
        <f>IF(T15="","",INDEX($N$4:$S$4,MATCH(MIN(N15:S15),N15:S15,0)))</f>
        <v/>
      </c>
      <c r="V15" s="14">
        <f>IF(OR(M15="",T15=""),"",IF(M15&gt;=8,IF(T15&gt;=2.5,"Operator","Confident beginner"),IF(T15&gt;=2.5,"Natural","Honest beginner")))</f>
        <v/>
      </c>
      <c r="W15" s="14">
        <f>IF(V15="","",IF(V15="Operator","Teach. Run the after-action review.",IF(V15="Natural","Vocabulary only. Judgment already transfers.",IF(V15="Honest beginner","The full sequence: terms, then scenarios, then rehearsal.","Scenarios first, autonomy last, whatever their confidence says."))))</f>
        <v/>
      </c>
      <c r="X15" s="14">
        <f>IF(V15="","",IF(T15&gt;=2.5,"Grant on evidence",IF(T15&gt;=2,"Supervised","Hold")))</f>
        <v/>
      </c>
      <c r="Y15" s="18" t="n"/>
      <c r="Z15" s="18" t="n"/>
    </row>
    <row r="16">
      <c r="A16" s="18" t="n"/>
      <c r="B16" s="18" t="n"/>
      <c r="C16" s="19" t="n"/>
      <c r="D16" s="19" t="n"/>
      <c r="E16" s="19" t="n"/>
      <c r="F16" s="19" t="n"/>
      <c r="G16" s="19" t="n"/>
      <c r="H16" s="19" t="n"/>
      <c r="I16" s="19" t="n"/>
      <c r="J16" s="19" t="n"/>
      <c r="K16" s="19" t="n"/>
      <c r="L16" s="19" t="n"/>
      <c r="M16" s="20">
        <f>IF(A16="","",IF(COUNTA(C16:L16)&lt;10,"",IF(UPPER(TRIM(C16))='Answer Key'!$B$1,1,0)+IF(UPPER(TRIM(D16))='Answer Key'!$B$2,1,0)+IF(UPPER(TRIM(E16))='Answer Key'!$B$3,1,0)+IF(UPPER(TRIM(F16))='Answer Key'!$B$4,1,0)+IF(UPPER(TRIM(G16))='Answer Key'!$B$5,1,0)+IF(UPPER(TRIM(H16))='Answer Key'!$B$6,1,0)+IF(UPPER(TRIM(I16))='Answer Key'!$B$7,1,0)+IF(UPPER(TRIM(J16))='Answer Key'!$B$8,1,0)+IF(UPPER(TRIM(K16))='Answer Key'!$B$9,1,0)+IF(UPPER(TRIM(L16))='Answer Key'!$B$10,1,0)))</f>
        <v/>
      </c>
      <c r="N16" s="19" t="n"/>
      <c r="O16" s="19" t="n"/>
      <c r="P16" s="19" t="n"/>
      <c r="Q16" s="19" t="n"/>
      <c r="R16" s="19" t="n"/>
      <c r="S16" s="19" t="n"/>
      <c r="T16" s="14">
        <f>IF(A16="","",IF(COUNT(N16:S16)&lt;6,"",ROUND(AVERAGE(N16:S16),1)))</f>
        <v/>
      </c>
      <c r="U16" s="14">
        <f>IF(T16="","",INDEX($N$4:$S$4,MATCH(MIN(N16:S16),N16:S16,0)))</f>
        <v/>
      </c>
      <c r="V16" s="14">
        <f>IF(OR(M16="",T16=""),"",IF(M16&gt;=8,IF(T16&gt;=2.5,"Operator","Confident beginner"),IF(T16&gt;=2.5,"Natural","Honest beginner")))</f>
        <v/>
      </c>
      <c r="W16" s="14">
        <f>IF(V16="","",IF(V16="Operator","Teach. Run the after-action review.",IF(V16="Natural","Vocabulary only. Judgment already transfers.",IF(V16="Honest beginner","The full sequence: terms, then scenarios, then rehearsal.","Scenarios first, autonomy last, whatever their confidence says."))))</f>
        <v/>
      </c>
      <c r="X16" s="14">
        <f>IF(V16="","",IF(T16&gt;=2.5,"Grant on evidence",IF(T16&gt;=2,"Supervised","Hold")))</f>
        <v/>
      </c>
      <c r="Y16" s="18" t="n"/>
      <c r="Z16" s="18" t="n"/>
    </row>
    <row r="17">
      <c r="A17" s="18" t="n"/>
      <c r="B17" s="18" t="n"/>
      <c r="C17" s="19" t="n"/>
      <c r="D17" s="19" t="n"/>
      <c r="E17" s="19" t="n"/>
      <c r="F17" s="19" t="n"/>
      <c r="G17" s="19" t="n"/>
      <c r="H17" s="19" t="n"/>
      <c r="I17" s="19" t="n"/>
      <c r="J17" s="19" t="n"/>
      <c r="K17" s="19" t="n"/>
      <c r="L17" s="19" t="n"/>
      <c r="M17" s="20">
        <f>IF(A17="","",IF(COUNTA(C17:L17)&lt;10,"",IF(UPPER(TRIM(C17))='Answer Key'!$B$1,1,0)+IF(UPPER(TRIM(D17))='Answer Key'!$B$2,1,0)+IF(UPPER(TRIM(E17))='Answer Key'!$B$3,1,0)+IF(UPPER(TRIM(F17))='Answer Key'!$B$4,1,0)+IF(UPPER(TRIM(G17))='Answer Key'!$B$5,1,0)+IF(UPPER(TRIM(H17))='Answer Key'!$B$6,1,0)+IF(UPPER(TRIM(I17))='Answer Key'!$B$7,1,0)+IF(UPPER(TRIM(J17))='Answer Key'!$B$8,1,0)+IF(UPPER(TRIM(K17))='Answer Key'!$B$9,1,0)+IF(UPPER(TRIM(L17))='Answer Key'!$B$10,1,0)))</f>
        <v/>
      </c>
      <c r="N17" s="19" t="n"/>
      <c r="O17" s="19" t="n"/>
      <c r="P17" s="19" t="n"/>
      <c r="Q17" s="19" t="n"/>
      <c r="R17" s="19" t="n"/>
      <c r="S17" s="19" t="n"/>
      <c r="T17" s="14">
        <f>IF(A17="","",IF(COUNT(N17:S17)&lt;6,"",ROUND(AVERAGE(N17:S17),1)))</f>
        <v/>
      </c>
      <c r="U17" s="14">
        <f>IF(T17="","",INDEX($N$4:$S$4,MATCH(MIN(N17:S17),N17:S17,0)))</f>
        <v/>
      </c>
      <c r="V17" s="14">
        <f>IF(OR(M17="",T17=""),"",IF(M17&gt;=8,IF(T17&gt;=2.5,"Operator","Confident beginner"),IF(T17&gt;=2.5,"Natural","Honest beginner")))</f>
        <v/>
      </c>
      <c r="W17" s="14">
        <f>IF(V17="","",IF(V17="Operator","Teach. Run the after-action review.",IF(V17="Natural","Vocabulary only. Judgment already transfers.",IF(V17="Honest beginner","The full sequence: terms, then scenarios, then rehearsal.","Scenarios first, autonomy last, whatever their confidence says."))))</f>
        <v/>
      </c>
      <c r="X17" s="14">
        <f>IF(V17="","",IF(T17&gt;=2.5,"Grant on evidence",IF(T17&gt;=2,"Supervised","Hold")))</f>
        <v/>
      </c>
      <c r="Y17" s="18" t="n"/>
      <c r="Z17" s="18" t="n"/>
    </row>
    <row r="18">
      <c r="A18" s="18" t="n"/>
      <c r="B18" s="18" t="n"/>
      <c r="C18" s="19" t="n"/>
      <c r="D18" s="19" t="n"/>
      <c r="E18" s="19" t="n"/>
      <c r="F18" s="19" t="n"/>
      <c r="G18" s="19" t="n"/>
      <c r="H18" s="19" t="n"/>
      <c r="I18" s="19" t="n"/>
      <c r="J18" s="19" t="n"/>
      <c r="K18" s="19" t="n"/>
      <c r="L18" s="19" t="n"/>
      <c r="M18" s="20">
        <f>IF(A18="","",IF(COUNTA(C18:L18)&lt;10,"",IF(UPPER(TRIM(C18))='Answer Key'!$B$1,1,0)+IF(UPPER(TRIM(D18))='Answer Key'!$B$2,1,0)+IF(UPPER(TRIM(E18))='Answer Key'!$B$3,1,0)+IF(UPPER(TRIM(F18))='Answer Key'!$B$4,1,0)+IF(UPPER(TRIM(G18))='Answer Key'!$B$5,1,0)+IF(UPPER(TRIM(H18))='Answer Key'!$B$6,1,0)+IF(UPPER(TRIM(I18))='Answer Key'!$B$7,1,0)+IF(UPPER(TRIM(J18))='Answer Key'!$B$8,1,0)+IF(UPPER(TRIM(K18))='Answer Key'!$B$9,1,0)+IF(UPPER(TRIM(L18))='Answer Key'!$B$10,1,0)))</f>
        <v/>
      </c>
      <c r="N18" s="19" t="n"/>
      <c r="O18" s="19" t="n"/>
      <c r="P18" s="19" t="n"/>
      <c r="Q18" s="19" t="n"/>
      <c r="R18" s="19" t="n"/>
      <c r="S18" s="19" t="n"/>
      <c r="T18" s="14">
        <f>IF(A18="","",IF(COUNT(N18:S18)&lt;6,"",ROUND(AVERAGE(N18:S18),1)))</f>
        <v/>
      </c>
      <c r="U18" s="14">
        <f>IF(T18="","",INDEX($N$4:$S$4,MATCH(MIN(N18:S18),N18:S18,0)))</f>
        <v/>
      </c>
      <c r="V18" s="14">
        <f>IF(OR(M18="",T18=""),"",IF(M18&gt;=8,IF(T18&gt;=2.5,"Operator","Confident beginner"),IF(T18&gt;=2.5,"Natural","Honest beginner")))</f>
        <v/>
      </c>
      <c r="W18" s="14">
        <f>IF(V18="","",IF(V18="Operator","Teach. Run the after-action review.",IF(V18="Natural","Vocabulary only. Judgment already transfers.",IF(V18="Honest beginner","The full sequence: terms, then scenarios, then rehearsal.","Scenarios first, autonomy last, whatever their confidence says."))))</f>
        <v/>
      </c>
      <c r="X18" s="14">
        <f>IF(V18="","",IF(T18&gt;=2.5,"Grant on evidence",IF(T18&gt;=2,"Supervised","Hold")))</f>
        <v/>
      </c>
      <c r="Y18" s="18" t="n"/>
      <c r="Z18" s="18" t="n"/>
    </row>
    <row r="19">
      <c r="A19" s="18" t="n"/>
      <c r="B19" s="18" t="n"/>
      <c r="C19" s="19" t="n"/>
      <c r="D19" s="19" t="n"/>
      <c r="E19" s="19" t="n"/>
      <c r="F19" s="19" t="n"/>
      <c r="G19" s="19" t="n"/>
      <c r="H19" s="19" t="n"/>
      <c r="I19" s="19" t="n"/>
      <c r="J19" s="19" t="n"/>
      <c r="K19" s="19" t="n"/>
      <c r="L19" s="19" t="n"/>
      <c r="M19" s="20">
        <f>IF(A19="","",IF(COUNTA(C19:L19)&lt;10,"",IF(UPPER(TRIM(C19))='Answer Key'!$B$1,1,0)+IF(UPPER(TRIM(D19))='Answer Key'!$B$2,1,0)+IF(UPPER(TRIM(E19))='Answer Key'!$B$3,1,0)+IF(UPPER(TRIM(F19))='Answer Key'!$B$4,1,0)+IF(UPPER(TRIM(G19))='Answer Key'!$B$5,1,0)+IF(UPPER(TRIM(H19))='Answer Key'!$B$6,1,0)+IF(UPPER(TRIM(I19))='Answer Key'!$B$7,1,0)+IF(UPPER(TRIM(J19))='Answer Key'!$B$8,1,0)+IF(UPPER(TRIM(K19))='Answer Key'!$B$9,1,0)+IF(UPPER(TRIM(L19))='Answer Key'!$B$10,1,0)))</f>
        <v/>
      </c>
      <c r="N19" s="19" t="n"/>
      <c r="O19" s="19" t="n"/>
      <c r="P19" s="19" t="n"/>
      <c r="Q19" s="19" t="n"/>
      <c r="R19" s="19" t="n"/>
      <c r="S19" s="19" t="n"/>
      <c r="T19" s="14">
        <f>IF(A19="","",IF(COUNT(N19:S19)&lt;6,"",ROUND(AVERAGE(N19:S19),1)))</f>
        <v/>
      </c>
      <c r="U19" s="14">
        <f>IF(T19="","",INDEX($N$4:$S$4,MATCH(MIN(N19:S19),N19:S19,0)))</f>
        <v/>
      </c>
      <c r="V19" s="14">
        <f>IF(OR(M19="",T19=""),"",IF(M19&gt;=8,IF(T19&gt;=2.5,"Operator","Confident beginner"),IF(T19&gt;=2.5,"Natural","Honest beginner")))</f>
        <v/>
      </c>
      <c r="W19" s="14">
        <f>IF(V19="","",IF(V19="Operator","Teach. Run the after-action review.",IF(V19="Natural","Vocabulary only. Judgment already transfers.",IF(V19="Honest beginner","The full sequence: terms, then scenarios, then rehearsal.","Scenarios first, autonomy last, whatever their confidence says."))))</f>
        <v/>
      </c>
      <c r="X19" s="14">
        <f>IF(V19="","",IF(T19&gt;=2.5,"Grant on evidence",IF(T19&gt;=2,"Supervised","Hold")))</f>
        <v/>
      </c>
      <c r="Y19" s="18" t="n"/>
      <c r="Z19" s="18" t="n"/>
    </row>
    <row r="20">
      <c r="A20" s="18" t="n"/>
      <c r="B20" s="18" t="n"/>
      <c r="C20" s="19" t="n"/>
      <c r="D20" s="19" t="n"/>
      <c r="E20" s="19" t="n"/>
      <c r="F20" s="19" t="n"/>
      <c r="G20" s="19" t="n"/>
      <c r="H20" s="19" t="n"/>
      <c r="I20" s="19" t="n"/>
      <c r="J20" s="19" t="n"/>
      <c r="K20" s="19" t="n"/>
      <c r="L20" s="19" t="n"/>
      <c r="M20" s="20">
        <f>IF(A20="","",IF(COUNTA(C20:L20)&lt;10,"",IF(UPPER(TRIM(C20))='Answer Key'!$B$1,1,0)+IF(UPPER(TRIM(D20))='Answer Key'!$B$2,1,0)+IF(UPPER(TRIM(E20))='Answer Key'!$B$3,1,0)+IF(UPPER(TRIM(F20))='Answer Key'!$B$4,1,0)+IF(UPPER(TRIM(G20))='Answer Key'!$B$5,1,0)+IF(UPPER(TRIM(H20))='Answer Key'!$B$6,1,0)+IF(UPPER(TRIM(I20))='Answer Key'!$B$7,1,0)+IF(UPPER(TRIM(J20))='Answer Key'!$B$8,1,0)+IF(UPPER(TRIM(K20))='Answer Key'!$B$9,1,0)+IF(UPPER(TRIM(L20))='Answer Key'!$B$10,1,0)))</f>
        <v/>
      </c>
      <c r="N20" s="19" t="n"/>
      <c r="O20" s="19" t="n"/>
      <c r="P20" s="19" t="n"/>
      <c r="Q20" s="19" t="n"/>
      <c r="R20" s="19" t="n"/>
      <c r="S20" s="19" t="n"/>
      <c r="T20" s="14">
        <f>IF(A20="","",IF(COUNT(N20:S20)&lt;6,"",ROUND(AVERAGE(N20:S20),1)))</f>
        <v/>
      </c>
      <c r="U20" s="14">
        <f>IF(T20="","",INDEX($N$4:$S$4,MATCH(MIN(N20:S20),N20:S20,0)))</f>
        <v/>
      </c>
      <c r="V20" s="14">
        <f>IF(OR(M20="",T20=""),"",IF(M20&gt;=8,IF(T20&gt;=2.5,"Operator","Confident beginner"),IF(T20&gt;=2.5,"Natural","Honest beginner")))</f>
        <v/>
      </c>
      <c r="W20" s="14">
        <f>IF(V20="","",IF(V20="Operator","Teach. Run the after-action review.",IF(V20="Natural","Vocabulary only. Judgment already transfers.",IF(V20="Honest beginner","The full sequence: terms, then scenarios, then rehearsal.","Scenarios first, autonomy last, whatever their confidence says."))))</f>
        <v/>
      </c>
      <c r="X20" s="14">
        <f>IF(V20="","",IF(T20&gt;=2.5,"Grant on evidence",IF(T20&gt;=2,"Supervised","Hold")))</f>
        <v/>
      </c>
      <c r="Y20" s="18" t="n"/>
      <c r="Z20" s="18" t="n"/>
    </row>
    <row r="21">
      <c r="A21" s="18" t="n"/>
      <c r="B21" s="18" t="n"/>
      <c r="C21" s="19" t="n"/>
      <c r="D21" s="19" t="n"/>
      <c r="E21" s="19" t="n"/>
      <c r="F21" s="19" t="n"/>
      <c r="G21" s="19" t="n"/>
      <c r="H21" s="19" t="n"/>
      <c r="I21" s="19" t="n"/>
      <c r="J21" s="19" t="n"/>
      <c r="K21" s="19" t="n"/>
      <c r="L21" s="19" t="n"/>
      <c r="M21" s="20">
        <f>IF(A21="","",IF(COUNTA(C21:L21)&lt;10,"",IF(UPPER(TRIM(C21))='Answer Key'!$B$1,1,0)+IF(UPPER(TRIM(D21))='Answer Key'!$B$2,1,0)+IF(UPPER(TRIM(E21))='Answer Key'!$B$3,1,0)+IF(UPPER(TRIM(F21))='Answer Key'!$B$4,1,0)+IF(UPPER(TRIM(G21))='Answer Key'!$B$5,1,0)+IF(UPPER(TRIM(H21))='Answer Key'!$B$6,1,0)+IF(UPPER(TRIM(I21))='Answer Key'!$B$7,1,0)+IF(UPPER(TRIM(J21))='Answer Key'!$B$8,1,0)+IF(UPPER(TRIM(K21))='Answer Key'!$B$9,1,0)+IF(UPPER(TRIM(L21))='Answer Key'!$B$10,1,0)))</f>
        <v/>
      </c>
      <c r="N21" s="19" t="n"/>
      <c r="O21" s="19" t="n"/>
      <c r="P21" s="19" t="n"/>
      <c r="Q21" s="19" t="n"/>
      <c r="R21" s="19" t="n"/>
      <c r="S21" s="19" t="n"/>
      <c r="T21" s="14">
        <f>IF(A21="","",IF(COUNT(N21:S21)&lt;6,"",ROUND(AVERAGE(N21:S21),1)))</f>
        <v/>
      </c>
      <c r="U21" s="14">
        <f>IF(T21="","",INDEX($N$4:$S$4,MATCH(MIN(N21:S21),N21:S21,0)))</f>
        <v/>
      </c>
      <c r="V21" s="14">
        <f>IF(OR(M21="",T21=""),"",IF(M21&gt;=8,IF(T21&gt;=2.5,"Operator","Confident beginner"),IF(T21&gt;=2.5,"Natural","Honest beginner")))</f>
        <v/>
      </c>
      <c r="W21" s="14">
        <f>IF(V21="","",IF(V21="Operator","Teach. Run the after-action review.",IF(V21="Natural","Vocabulary only. Judgment already transfers.",IF(V21="Honest beginner","The full sequence: terms, then scenarios, then rehearsal.","Scenarios first, autonomy last, whatever their confidence says."))))</f>
        <v/>
      </c>
      <c r="X21" s="14">
        <f>IF(V21="","",IF(T21&gt;=2.5,"Grant on evidence",IF(T21&gt;=2,"Supervised","Hold")))</f>
        <v/>
      </c>
      <c r="Y21" s="18" t="n"/>
      <c r="Z21" s="18" t="n"/>
    </row>
    <row r="22">
      <c r="A22" s="18" t="n"/>
      <c r="B22" s="18" t="n"/>
      <c r="C22" s="19" t="n"/>
      <c r="D22" s="19" t="n"/>
      <c r="E22" s="19" t="n"/>
      <c r="F22" s="19" t="n"/>
      <c r="G22" s="19" t="n"/>
      <c r="H22" s="19" t="n"/>
      <c r="I22" s="19" t="n"/>
      <c r="J22" s="19" t="n"/>
      <c r="K22" s="19" t="n"/>
      <c r="L22" s="19" t="n"/>
      <c r="M22" s="20">
        <f>IF(A22="","",IF(COUNTA(C22:L22)&lt;10,"",IF(UPPER(TRIM(C22))='Answer Key'!$B$1,1,0)+IF(UPPER(TRIM(D22))='Answer Key'!$B$2,1,0)+IF(UPPER(TRIM(E22))='Answer Key'!$B$3,1,0)+IF(UPPER(TRIM(F22))='Answer Key'!$B$4,1,0)+IF(UPPER(TRIM(G22))='Answer Key'!$B$5,1,0)+IF(UPPER(TRIM(H22))='Answer Key'!$B$6,1,0)+IF(UPPER(TRIM(I22))='Answer Key'!$B$7,1,0)+IF(UPPER(TRIM(J22))='Answer Key'!$B$8,1,0)+IF(UPPER(TRIM(K22))='Answer Key'!$B$9,1,0)+IF(UPPER(TRIM(L22))='Answer Key'!$B$10,1,0)))</f>
        <v/>
      </c>
      <c r="N22" s="19" t="n"/>
      <c r="O22" s="19" t="n"/>
      <c r="P22" s="19" t="n"/>
      <c r="Q22" s="19" t="n"/>
      <c r="R22" s="19" t="n"/>
      <c r="S22" s="19" t="n"/>
      <c r="T22" s="14">
        <f>IF(A22="","",IF(COUNT(N22:S22)&lt;6,"",ROUND(AVERAGE(N22:S22),1)))</f>
        <v/>
      </c>
      <c r="U22" s="14">
        <f>IF(T22="","",INDEX($N$4:$S$4,MATCH(MIN(N22:S22),N22:S22,0)))</f>
        <v/>
      </c>
      <c r="V22" s="14">
        <f>IF(OR(M22="",T22=""),"",IF(M22&gt;=8,IF(T22&gt;=2.5,"Operator","Confident beginner"),IF(T22&gt;=2.5,"Natural","Honest beginner")))</f>
        <v/>
      </c>
      <c r="W22" s="14">
        <f>IF(V22="","",IF(V22="Operator","Teach. Run the after-action review.",IF(V22="Natural","Vocabulary only. Judgment already transfers.",IF(V22="Honest beginner","The full sequence: terms, then scenarios, then rehearsal.","Scenarios first, autonomy last, whatever their confidence says."))))</f>
        <v/>
      </c>
      <c r="X22" s="14">
        <f>IF(V22="","",IF(T22&gt;=2.5,"Grant on evidence",IF(T22&gt;=2,"Supervised","Hold")))</f>
        <v/>
      </c>
      <c r="Y22" s="18" t="n"/>
      <c r="Z22" s="18" t="n"/>
    </row>
    <row r="23">
      <c r="A23" s="18" t="n"/>
      <c r="B23" s="18" t="n"/>
      <c r="C23" s="19" t="n"/>
      <c r="D23" s="19" t="n"/>
      <c r="E23" s="19" t="n"/>
      <c r="F23" s="19" t="n"/>
      <c r="G23" s="19" t="n"/>
      <c r="H23" s="19" t="n"/>
      <c r="I23" s="19" t="n"/>
      <c r="J23" s="19" t="n"/>
      <c r="K23" s="19" t="n"/>
      <c r="L23" s="19" t="n"/>
      <c r="M23" s="20">
        <f>IF(A23="","",IF(COUNTA(C23:L23)&lt;10,"",IF(UPPER(TRIM(C23))='Answer Key'!$B$1,1,0)+IF(UPPER(TRIM(D23))='Answer Key'!$B$2,1,0)+IF(UPPER(TRIM(E23))='Answer Key'!$B$3,1,0)+IF(UPPER(TRIM(F23))='Answer Key'!$B$4,1,0)+IF(UPPER(TRIM(G23))='Answer Key'!$B$5,1,0)+IF(UPPER(TRIM(H23))='Answer Key'!$B$6,1,0)+IF(UPPER(TRIM(I23))='Answer Key'!$B$7,1,0)+IF(UPPER(TRIM(J23))='Answer Key'!$B$8,1,0)+IF(UPPER(TRIM(K23))='Answer Key'!$B$9,1,0)+IF(UPPER(TRIM(L23))='Answer Key'!$B$10,1,0)))</f>
        <v/>
      </c>
      <c r="N23" s="19" t="n"/>
      <c r="O23" s="19" t="n"/>
      <c r="P23" s="19" t="n"/>
      <c r="Q23" s="19" t="n"/>
      <c r="R23" s="19" t="n"/>
      <c r="S23" s="19" t="n"/>
      <c r="T23" s="14">
        <f>IF(A23="","",IF(COUNT(N23:S23)&lt;6,"",ROUND(AVERAGE(N23:S23),1)))</f>
        <v/>
      </c>
      <c r="U23" s="14">
        <f>IF(T23="","",INDEX($N$4:$S$4,MATCH(MIN(N23:S23),N23:S23,0)))</f>
        <v/>
      </c>
      <c r="V23" s="14">
        <f>IF(OR(M23="",T23=""),"",IF(M23&gt;=8,IF(T23&gt;=2.5,"Operator","Confident beginner"),IF(T23&gt;=2.5,"Natural","Honest beginner")))</f>
        <v/>
      </c>
      <c r="W23" s="14">
        <f>IF(V23="","",IF(V23="Operator","Teach. Run the after-action review.",IF(V23="Natural","Vocabulary only. Judgment already transfers.",IF(V23="Honest beginner","The full sequence: terms, then scenarios, then rehearsal.","Scenarios first, autonomy last, whatever their confidence says."))))</f>
        <v/>
      </c>
      <c r="X23" s="14">
        <f>IF(V23="","",IF(T23&gt;=2.5,"Grant on evidence",IF(T23&gt;=2,"Supervised","Hold")))</f>
        <v/>
      </c>
      <c r="Y23" s="18" t="n"/>
      <c r="Z23" s="18" t="n"/>
    </row>
    <row r="24">
      <c r="A24" s="18" t="n"/>
      <c r="B24" s="18" t="n"/>
      <c r="C24" s="19" t="n"/>
      <c r="D24" s="19" t="n"/>
      <c r="E24" s="19" t="n"/>
      <c r="F24" s="19" t="n"/>
      <c r="G24" s="19" t="n"/>
      <c r="H24" s="19" t="n"/>
      <c r="I24" s="19" t="n"/>
      <c r="J24" s="19" t="n"/>
      <c r="K24" s="19" t="n"/>
      <c r="L24" s="19" t="n"/>
      <c r="M24" s="20">
        <f>IF(A24="","",IF(COUNTA(C24:L24)&lt;10,"",IF(UPPER(TRIM(C24))='Answer Key'!$B$1,1,0)+IF(UPPER(TRIM(D24))='Answer Key'!$B$2,1,0)+IF(UPPER(TRIM(E24))='Answer Key'!$B$3,1,0)+IF(UPPER(TRIM(F24))='Answer Key'!$B$4,1,0)+IF(UPPER(TRIM(G24))='Answer Key'!$B$5,1,0)+IF(UPPER(TRIM(H24))='Answer Key'!$B$6,1,0)+IF(UPPER(TRIM(I24))='Answer Key'!$B$7,1,0)+IF(UPPER(TRIM(J24))='Answer Key'!$B$8,1,0)+IF(UPPER(TRIM(K24))='Answer Key'!$B$9,1,0)+IF(UPPER(TRIM(L24))='Answer Key'!$B$10,1,0)))</f>
        <v/>
      </c>
      <c r="N24" s="19" t="n"/>
      <c r="O24" s="19" t="n"/>
      <c r="P24" s="19" t="n"/>
      <c r="Q24" s="19" t="n"/>
      <c r="R24" s="19" t="n"/>
      <c r="S24" s="19" t="n"/>
      <c r="T24" s="14">
        <f>IF(A24="","",IF(COUNT(N24:S24)&lt;6,"",ROUND(AVERAGE(N24:S24),1)))</f>
        <v/>
      </c>
      <c r="U24" s="14">
        <f>IF(T24="","",INDEX($N$4:$S$4,MATCH(MIN(N24:S24),N24:S24,0)))</f>
        <v/>
      </c>
      <c r="V24" s="14">
        <f>IF(OR(M24="",T24=""),"",IF(M24&gt;=8,IF(T24&gt;=2.5,"Operator","Confident beginner"),IF(T24&gt;=2.5,"Natural","Honest beginner")))</f>
        <v/>
      </c>
      <c r="W24" s="14">
        <f>IF(V24="","",IF(V24="Operator","Teach. Run the after-action review.",IF(V24="Natural","Vocabulary only. Judgment already transfers.",IF(V24="Honest beginner","The full sequence: terms, then scenarios, then rehearsal.","Scenarios first, autonomy last, whatever their confidence says."))))</f>
        <v/>
      </c>
      <c r="X24" s="14">
        <f>IF(V24="","",IF(T24&gt;=2.5,"Grant on evidence",IF(T24&gt;=2,"Supervised","Hold")))</f>
        <v/>
      </c>
      <c r="Y24" s="18" t="n"/>
      <c r="Z24" s="18" t="n"/>
    </row>
    <row r="25">
      <c r="A25" s="18" t="n"/>
      <c r="B25" s="18" t="n"/>
      <c r="C25" s="19" t="n"/>
      <c r="D25" s="19" t="n"/>
      <c r="E25" s="19" t="n"/>
      <c r="F25" s="19" t="n"/>
      <c r="G25" s="19" t="n"/>
      <c r="H25" s="19" t="n"/>
      <c r="I25" s="19" t="n"/>
      <c r="J25" s="19" t="n"/>
      <c r="K25" s="19" t="n"/>
      <c r="L25" s="19" t="n"/>
      <c r="M25" s="20">
        <f>IF(A25="","",IF(COUNTA(C25:L25)&lt;10,"",IF(UPPER(TRIM(C25))='Answer Key'!$B$1,1,0)+IF(UPPER(TRIM(D25))='Answer Key'!$B$2,1,0)+IF(UPPER(TRIM(E25))='Answer Key'!$B$3,1,0)+IF(UPPER(TRIM(F25))='Answer Key'!$B$4,1,0)+IF(UPPER(TRIM(G25))='Answer Key'!$B$5,1,0)+IF(UPPER(TRIM(H25))='Answer Key'!$B$6,1,0)+IF(UPPER(TRIM(I25))='Answer Key'!$B$7,1,0)+IF(UPPER(TRIM(J25))='Answer Key'!$B$8,1,0)+IF(UPPER(TRIM(K25))='Answer Key'!$B$9,1,0)+IF(UPPER(TRIM(L25))='Answer Key'!$B$10,1,0)))</f>
        <v/>
      </c>
      <c r="N25" s="19" t="n"/>
      <c r="O25" s="19" t="n"/>
      <c r="P25" s="19" t="n"/>
      <c r="Q25" s="19" t="n"/>
      <c r="R25" s="19" t="n"/>
      <c r="S25" s="19" t="n"/>
      <c r="T25" s="14">
        <f>IF(A25="","",IF(COUNT(N25:S25)&lt;6,"",ROUND(AVERAGE(N25:S25),1)))</f>
        <v/>
      </c>
      <c r="U25" s="14">
        <f>IF(T25="","",INDEX($N$4:$S$4,MATCH(MIN(N25:S25),N25:S25,0)))</f>
        <v/>
      </c>
      <c r="V25" s="14">
        <f>IF(OR(M25="",T25=""),"",IF(M25&gt;=8,IF(T25&gt;=2.5,"Operator","Confident beginner"),IF(T25&gt;=2.5,"Natural","Honest beginner")))</f>
        <v/>
      </c>
      <c r="W25" s="14">
        <f>IF(V25="","",IF(V25="Operator","Teach. Run the after-action review.",IF(V25="Natural","Vocabulary only. Judgment already transfers.",IF(V25="Honest beginner","The full sequence: terms, then scenarios, then rehearsal.","Scenarios first, autonomy last, whatever their confidence says."))))</f>
        <v/>
      </c>
      <c r="X25" s="14">
        <f>IF(V25="","",IF(T25&gt;=2.5,"Grant on evidence",IF(T25&gt;=2,"Supervised","Hold")))</f>
        <v/>
      </c>
      <c r="Y25" s="18" t="n"/>
      <c r="Z25" s="18" t="n"/>
    </row>
    <row r="26">
      <c r="A26" s="18" t="n"/>
      <c r="B26" s="18" t="n"/>
      <c r="C26" s="19" t="n"/>
      <c r="D26" s="19" t="n"/>
      <c r="E26" s="19" t="n"/>
      <c r="F26" s="19" t="n"/>
      <c r="G26" s="19" t="n"/>
      <c r="H26" s="19" t="n"/>
      <c r="I26" s="19" t="n"/>
      <c r="J26" s="19" t="n"/>
      <c r="K26" s="19" t="n"/>
      <c r="L26" s="19" t="n"/>
      <c r="M26" s="20">
        <f>IF(A26="","",IF(COUNTA(C26:L26)&lt;10,"",IF(UPPER(TRIM(C26))='Answer Key'!$B$1,1,0)+IF(UPPER(TRIM(D26))='Answer Key'!$B$2,1,0)+IF(UPPER(TRIM(E26))='Answer Key'!$B$3,1,0)+IF(UPPER(TRIM(F26))='Answer Key'!$B$4,1,0)+IF(UPPER(TRIM(G26))='Answer Key'!$B$5,1,0)+IF(UPPER(TRIM(H26))='Answer Key'!$B$6,1,0)+IF(UPPER(TRIM(I26))='Answer Key'!$B$7,1,0)+IF(UPPER(TRIM(J26))='Answer Key'!$B$8,1,0)+IF(UPPER(TRIM(K26))='Answer Key'!$B$9,1,0)+IF(UPPER(TRIM(L26))='Answer Key'!$B$10,1,0)))</f>
        <v/>
      </c>
      <c r="N26" s="19" t="n"/>
      <c r="O26" s="19" t="n"/>
      <c r="P26" s="19" t="n"/>
      <c r="Q26" s="19" t="n"/>
      <c r="R26" s="19" t="n"/>
      <c r="S26" s="19" t="n"/>
      <c r="T26" s="14">
        <f>IF(A26="","",IF(COUNT(N26:S26)&lt;6,"",ROUND(AVERAGE(N26:S26),1)))</f>
        <v/>
      </c>
      <c r="U26" s="14">
        <f>IF(T26="","",INDEX($N$4:$S$4,MATCH(MIN(N26:S26),N26:S26,0)))</f>
        <v/>
      </c>
      <c r="V26" s="14">
        <f>IF(OR(M26="",T26=""),"",IF(M26&gt;=8,IF(T26&gt;=2.5,"Operator","Confident beginner"),IF(T26&gt;=2.5,"Natural","Honest beginner")))</f>
        <v/>
      </c>
      <c r="W26" s="14">
        <f>IF(V26="","",IF(V26="Operator","Teach. Run the after-action review.",IF(V26="Natural","Vocabulary only. Judgment already transfers.",IF(V26="Honest beginner","The full sequence: terms, then scenarios, then rehearsal.","Scenarios first, autonomy last, whatever their confidence says."))))</f>
        <v/>
      </c>
      <c r="X26" s="14">
        <f>IF(V26="","",IF(T26&gt;=2.5,"Grant on evidence",IF(T26&gt;=2,"Supervised","Hold")))</f>
        <v/>
      </c>
      <c r="Y26" s="18" t="n"/>
      <c r="Z26" s="18" t="n"/>
    </row>
    <row r="27">
      <c r="A27" s="18" t="n"/>
      <c r="B27" s="18" t="n"/>
      <c r="C27" s="19" t="n"/>
      <c r="D27" s="19" t="n"/>
      <c r="E27" s="19" t="n"/>
      <c r="F27" s="19" t="n"/>
      <c r="G27" s="19" t="n"/>
      <c r="H27" s="19" t="n"/>
      <c r="I27" s="19" t="n"/>
      <c r="J27" s="19" t="n"/>
      <c r="K27" s="19" t="n"/>
      <c r="L27" s="19" t="n"/>
      <c r="M27" s="20">
        <f>IF(A27="","",IF(COUNTA(C27:L27)&lt;10,"",IF(UPPER(TRIM(C27))='Answer Key'!$B$1,1,0)+IF(UPPER(TRIM(D27))='Answer Key'!$B$2,1,0)+IF(UPPER(TRIM(E27))='Answer Key'!$B$3,1,0)+IF(UPPER(TRIM(F27))='Answer Key'!$B$4,1,0)+IF(UPPER(TRIM(G27))='Answer Key'!$B$5,1,0)+IF(UPPER(TRIM(H27))='Answer Key'!$B$6,1,0)+IF(UPPER(TRIM(I27))='Answer Key'!$B$7,1,0)+IF(UPPER(TRIM(J27))='Answer Key'!$B$8,1,0)+IF(UPPER(TRIM(K27))='Answer Key'!$B$9,1,0)+IF(UPPER(TRIM(L27))='Answer Key'!$B$10,1,0)))</f>
        <v/>
      </c>
      <c r="N27" s="19" t="n"/>
      <c r="O27" s="19" t="n"/>
      <c r="P27" s="19" t="n"/>
      <c r="Q27" s="19" t="n"/>
      <c r="R27" s="19" t="n"/>
      <c r="S27" s="19" t="n"/>
      <c r="T27" s="14">
        <f>IF(A27="","",IF(COUNT(N27:S27)&lt;6,"",ROUND(AVERAGE(N27:S27),1)))</f>
        <v/>
      </c>
      <c r="U27" s="14">
        <f>IF(T27="","",INDEX($N$4:$S$4,MATCH(MIN(N27:S27),N27:S27,0)))</f>
        <v/>
      </c>
      <c r="V27" s="14">
        <f>IF(OR(M27="",T27=""),"",IF(M27&gt;=8,IF(T27&gt;=2.5,"Operator","Confident beginner"),IF(T27&gt;=2.5,"Natural","Honest beginner")))</f>
        <v/>
      </c>
      <c r="W27" s="14">
        <f>IF(V27="","",IF(V27="Operator","Teach. Run the after-action review.",IF(V27="Natural","Vocabulary only. Judgment already transfers.",IF(V27="Honest beginner","The full sequence: terms, then scenarios, then rehearsal.","Scenarios first, autonomy last, whatever their confidence says."))))</f>
        <v/>
      </c>
      <c r="X27" s="14">
        <f>IF(V27="","",IF(T27&gt;=2.5,"Grant on evidence",IF(T27&gt;=2,"Supervised","Hold")))</f>
        <v/>
      </c>
      <c r="Y27" s="18" t="n"/>
      <c r="Z27" s="18" t="n"/>
    </row>
    <row r="28">
      <c r="A28" s="18" t="n"/>
      <c r="B28" s="18" t="n"/>
      <c r="C28" s="19" t="n"/>
      <c r="D28" s="19" t="n"/>
      <c r="E28" s="19" t="n"/>
      <c r="F28" s="19" t="n"/>
      <c r="G28" s="19" t="n"/>
      <c r="H28" s="19" t="n"/>
      <c r="I28" s="19" t="n"/>
      <c r="J28" s="19" t="n"/>
      <c r="K28" s="19" t="n"/>
      <c r="L28" s="19" t="n"/>
      <c r="M28" s="20">
        <f>IF(A28="","",IF(COUNTA(C28:L28)&lt;10,"",IF(UPPER(TRIM(C28))='Answer Key'!$B$1,1,0)+IF(UPPER(TRIM(D28))='Answer Key'!$B$2,1,0)+IF(UPPER(TRIM(E28))='Answer Key'!$B$3,1,0)+IF(UPPER(TRIM(F28))='Answer Key'!$B$4,1,0)+IF(UPPER(TRIM(G28))='Answer Key'!$B$5,1,0)+IF(UPPER(TRIM(H28))='Answer Key'!$B$6,1,0)+IF(UPPER(TRIM(I28))='Answer Key'!$B$7,1,0)+IF(UPPER(TRIM(J28))='Answer Key'!$B$8,1,0)+IF(UPPER(TRIM(K28))='Answer Key'!$B$9,1,0)+IF(UPPER(TRIM(L28))='Answer Key'!$B$10,1,0)))</f>
        <v/>
      </c>
      <c r="N28" s="19" t="n"/>
      <c r="O28" s="19" t="n"/>
      <c r="P28" s="19" t="n"/>
      <c r="Q28" s="19" t="n"/>
      <c r="R28" s="19" t="n"/>
      <c r="S28" s="19" t="n"/>
      <c r="T28" s="14">
        <f>IF(A28="","",IF(COUNT(N28:S28)&lt;6,"",ROUND(AVERAGE(N28:S28),1)))</f>
        <v/>
      </c>
      <c r="U28" s="14">
        <f>IF(T28="","",INDEX($N$4:$S$4,MATCH(MIN(N28:S28),N28:S28,0)))</f>
        <v/>
      </c>
      <c r="V28" s="14">
        <f>IF(OR(M28="",T28=""),"",IF(M28&gt;=8,IF(T28&gt;=2.5,"Operator","Confident beginner"),IF(T28&gt;=2.5,"Natural","Honest beginner")))</f>
        <v/>
      </c>
      <c r="W28" s="14">
        <f>IF(V28="","",IF(V28="Operator","Teach. Run the after-action review.",IF(V28="Natural","Vocabulary only. Judgment already transfers.",IF(V28="Honest beginner","The full sequence: terms, then scenarios, then rehearsal.","Scenarios first, autonomy last, whatever their confidence says."))))</f>
        <v/>
      </c>
      <c r="X28" s="14">
        <f>IF(V28="","",IF(T28&gt;=2.5,"Grant on evidence",IF(T28&gt;=2,"Supervised","Hold")))</f>
        <v/>
      </c>
      <c r="Y28" s="18" t="n"/>
      <c r="Z28" s="18" t="n"/>
    </row>
    <row r="29">
      <c r="A29" s="18" t="n"/>
      <c r="B29" s="18" t="n"/>
      <c r="C29" s="19" t="n"/>
      <c r="D29" s="19" t="n"/>
      <c r="E29" s="19" t="n"/>
      <c r="F29" s="19" t="n"/>
      <c r="G29" s="19" t="n"/>
      <c r="H29" s="19" t="n"/>
      <c r="I29" s="19" t="n"/>
      <c r="J29" s="19" t="n"/>
      <c r="K29" s="19" t="n"/>
      <c r="L29" s="19" t="n"/>
      <c r="M29" s="20">
        <f>IF(A29="","",IF(COUNTA(C29:L29)&lt;10,"",IF(UPPER(TRIM(C29))='Answer Key'!$B$1,1,0)+IF(UPPER(TRIM(D29))='Answer Key'!$B$2,1,0)+IF(UPPER(TRIM(E29))='Answer Key'!$B$3,1,0)+IF(UPPER(TRIM(F29))='Answer Key'!$B$4,1,0)+IF(UPPER(TRIM(G29))='Answer Key'!$B$5,1,0)+IF(UPPER(TRIM(H29))='Answer Key'!$B$6,1,0)+IF(UPPER(TRIM(I29))='Answer Key'!$B$7,1,0)+IF(UPPER(TRIM(J29))='Answer Key'!$B$8,1,0)+IF(UPPER(TRIM(K29))='Answer Key'!$B$9,1,0)+IF(UPPER(TRIM(L29))='Answer Key'!$B$10,1,0)))</f>
        <v/>
      </c>
      <c r="N29" s="19" t="n"/>
      <c r="O29" s="19" t="n"/>
      <c r="P29" s="19" t="n"/>
      <c r="Q29" s="19" t="n"/>
      <c r="R29" s="19" t="n"/>
      <c r="S29" s="19" t="n"/>
      <c r="T29" s="14">
        <f>IF(A29="","",IF(COUNT(N29:S29)&lt;6,"",ROUND(AVERAGE(N29:S29),1)))</f>
        <v/>
      </c>
      <c r="U29" s="14">
        <f>IF(T29="","",INDEX($N$4:$S$4,MATCH(MIN(N29:S29),N29:S29,0)))</f>
        <v/>
      </c>
      <c r="V29" s="14">
        <f>IF(OR(M29="",T29=""),"",IF(M29&gt;=8,IF(T29&gt;=2.5,"Operator","Confident beginner"),IF(T29&gt;=2.5,"Natural","Honest beginner")))</f>
        <v/>
      </c>
      <c r="W29" s="14">
        <f>IF(V29="","",IF(V29="Operator","Teach. Run the after-action review.",IF(V29="Natural","Vocabulary only. Judgment already transfers.",IF(V29="Honest beginner","The full sequence: terms, then scenarios, then rehearsal.","Scenarios first, autonomy last, whatever their confidence says."))))</f>
        <v/>
      </c>
      <c r="X29" s="14">
        <f>IF(V29="","",IF(T29&gt;=2.5,"Grant on evidence",IF(T29&gt;=2,"Supervised","Hold")))</f>
        <v/>
      </c>
      <c r="Y29" s="18" t="n"/>
      <c r="Z29" s="18" t="n"/>
    </row>
    <row r="30">
      <c r="A30" s="18" t="n"/>
      <c r="B30" s="18" t="n"/>
      <c r="C30" s="19" t="n"/>
      <c r="D30" s="19" t="n"/>
      <c r="E30" s="19" t="n"/>
      <c r="F30" s="19" t="n"/>
      <c r="G30" s="19" t="n"/>
      <c r="H30" s="19" t="n"/>
      <c r="I30" s="19" t="n"/>
      <c r="J30" s="19" t="n"/>
      <c r="K30" s="19" t="n"/>
      <c r="L30" s="19" t="n"/>
      <c r="M30" s="20">
        <f>IF(A30="","",IF(COUNTA(C30:L30)&lt;10,"",IF(UPPER(TRIM(C30))='Answer Key'!$B$1,1,0)+IF(UPPER(TRIM(D30))='Answer Key'!$B$2,1,0)+IF(UPPER(TRIM(E30))='Answer Key'!$B$3,1,0)+IF(UPPER(TRIM(F30))='Answer Key'!$B$4,1,0)+IF(UPPER(TRIM(G30))='Answer Key'!$B$5,1,0)+IF(UPPER(TRIM(H30))='Answer Key'!$B$6,1,0)+IF(UPPER(TRIM(I30))='Answer Key'!$B$7,1,0)+IF(UPPER(TRIM(J30))='Answer Key'!$B$8,1,0)+IF(UPPER(TRIM(K30))='Answer Key'!$B$9,1,0)+IF(UPPER(TRIM(L30))='Answer Key'!$B$10,1,0)))</f>
        <v/>
      </c>
      <c r="N30" s="19" t="n"/>
      <c r="O30" s="19" t="n"/>
      <c r="P30" s="19" t="n"/>
      <c r="Q30" s="19" t="n"/>
      <c r="R30" s="19" t="n"/>
      <c r="S30" s="19" t="n"/>
      <c r="T30" s="14">
        <f>IF(A30="","",IF(COUNT(N30:S30)&lt;6,"",ROUND(AVERAGE(N30:S30),1)))</f>
        <v/>
      </c>
      <c r="U30" s="14">
        <f>IF(T30="","",INDEX($N$4:$S$4,MATCH(MIN(N30:S30),N30:S30,0)))</f>
        <v/>
      </c>
      <c r="V30" s="14">
        <f>IF(OR(M30="",T30=""),"",IF(M30&gt;=8,IF(T30&gt;=2.5,"Operator","Confident beginner"),IF(T30&gt;=2.5,"Natural","Honest beginner")))</f>
        <v/>
      </c>
      <c r="W30" s="14">
        <f>IF(V30="","",IF(V30="Operator","Teach. Run the after-action review.",IF(V30="Natural","Vocabulary only. Judgment already transfers.",IF(V30="Honest beginner","The full sequence: terms, then scenarios, then rehearsal.","Scenarios first, autonomy last, whatever their confidence says."))))</f>
        <v/>
      </c>
      <c r="X30" s="14">
        <f>IF(V30="","",IF(T30&gt;=2.5,"Grant on evidence",IF(T30&gt;=2,"Supervised","Hold")))</f>
        <v/>
      </c>
      <c r="Y30" s="18" t="n"/>
      <c r="Z30" s="18" t="n"/>
    </row>
    <row r="31">
      <c r="A31" s="18" t="n"/>
      <c r="B31" s="18" t="n"/>
      <c r="C31" s="19" t="n"/>
      <c r="D31" s="19" t="n"/>
      <c r="E31" s="19" t="n"/>
      <c r="F31" s="19" t="n"/>
      <c r="G31" s="19" t="n"/>
      <c r="H31" s="19" t="n"/>
      <c r="I31" s="19" t="n"/>
      <c r="J31" s="19" t="n"/>
      <c r="K31" s="19" t="n"/>
      <c r="L31" s="19" t="n"/>
      <c r="M31" s="20">
        <f>IF(A31="","",IF(COUNTA(C31:L31)&lt;10,"",IF(UPPER(TRIM(C31))='Answer Key'!$B$1,1,0)+IF(UPPER(TRIM(D31))='Answer Key'!$B$2,1,0)+IF(UPPER(TRIM(E31))='Answer Key'!$B$3,1,0)+IF(UPPER(TRIM(F31))='Answer Key'!$B$4,1,0)+IF(UPPER(TRIM(G31))='Answer Key'!$B$5,1,0)+IF(UPPER(TRIM(H31))='Answer Key'!$B$6,1,0)+IF(UPPER(TRIM(I31))='Answer Key'!$B$7,1,0)+IF(UPPER(TRIM(J31))='Answer Key'!$B$8,1,0)+IF(UPPER(TRIM(K31))='Answer Key'!$B$9,1,0)+IF(UPPER(TRIM(L31))='Answer Key'!$B$10,1,0)))</f>
        <v/>
      </c>
      <c r="N31" s="19" t="n"/>
      <c r="O31" s="19" t="n"/>
      <c r="P31" s="19" t="n"/>
      <c r="Q31" s="19" t="n"/>
      <c r="R31" s="19" t="n"/>
      <c r="S31" s="19" t="n"/>
      <c r="T31" s="14">
        <f>IF(A31="","",IF(COUNT(N31:S31)&lt;6,"",ROUND(AVERAGE(N31:S31),1)))</f>
        <v/>
      </c>
      <c r="U31" s="14">
        <f>IF(T31="","",INDEX($N$4:$S$4,MATCH(MIN(N31:S31),N31:S31,0)))</f>
        <v/>
      </c>
      <c r="V31" s="14">
        <f>IF(OR(M31="",T31=""),"",IF(M31&gt;=8,IF(T31&gt;=2.5,"Operator","Confident beginner"),IF(T31&gt;=2.5,"Natural","Honest beginner")))</f>
        <v/>
      </c>
      <c r="W31" s="14">
        <f>IF(V31="","",IF(V31="Operator","Teach. Run the after-action review.",IF(V31="Natural","Vocabulary only. Judgment already transfers.",IF(V31="Honest beginner","The full sequence: terms, then scenarios, then rehearsal.","Scenarios first, autonomy last, whatever their confidence says."))))</f>
        <v/>
      </c>
      <c r="X31" s="14">
        <f>IF(V31="","",IF(T31&gt;=2.5,"Grant on evidence",IF(T31&gt;=2,"Supervised","Hold")))</f>
        <v/>
      </c>
      <c r="Y31" s="18" t="n"/>
      <c r="Z31" s="18" t="n"/>
    </row>
    <row r="32">
      <c r="A32" s="18" t="n"/>
      <c r="B32" s="18" t="n"/>
      <c r="C32" s="19" t="n"/>
      <c r="D32" s="19" t="n"/>
      <c r="E32" s="19" t="n"/>
      <c r="F32" s="19" t="n"/>
      <c r="G32" s="19" t="n"/>
      <c r="H32" s="19" t="n"/>
      <c r="I32" s="19" t="n"/>
      <c r="J32" s="19" t="n"/>
      <c r="K32" s="19" t="n"/>
      <c r="L32" s="19" t="n"/>
      <c r="M32" s="20">
        <f>IF(A32="","",IF(COUNTA(C32:L32)&lt;10,"",IF(UPPER(TRIM(C32))='Answer Key'!$B$1,1,0)+IF(UPPER(TRIM(D32))='Answer Key'!$B$2,1,0)+IF(UPPER(TRIM(E32))='Answer Key'!$B$3,1,0)+IF(UPPER(TRIM(F32))='Answer Key'!$B$4,1,0)+IF(UPPER(TRIM(G32))='Answer Key'!$B$5,1,0)+IF(UPPER(TRIM(H32))='Answer Key'!$B$6,1,0)+IF(UPPER(TRIM(I32))='Answer Key'!$B$7,1,0)+IF(UPPER(TRIM(J32))='Answer Key'!$B$8,1,0)+IF(UPPER(TRIM(K32))='Answer Key'!$B$9,1,0)+IF(UPPER(TRIM(L32))='Answer Key'!$B$10,1,0)))</f>
        <v/>
      </c>
      <c r="N32" s="19" t="n"/>
      <c r="O32" s="19" t="n"/>
      <c r="P32" s="19" t="n"/>
      <c r="Q32" s="19" t="n"/>
      <c r="R32" s="19" t="n"/>
      <c r="S32" s="19" t="n"/>
      <c r="T32" s="14">
        <f>IF(A32="","",IF(COUNT(N32:S32)&lt;6,"",ROUND(AVERAGE(N32:S32),1)))</f>
        <v/>
      </c>
      <c r="U32" s="14">
        <f>IF(T32="","",INDEX($N$4:$S$4,MATCH(MIN(N32:S32),N32:S32,0)))</f>
        <v/>
      </c>
      <c r="V32" s="14">
        <f>IF(OR(M32="",T32=""),"",IF(M32&gt;=8,IF(T32&gt;=2.5,"Operator","Confident beginner"),IF(T32&gt;=2.5,"Natural","Honest beginner")))</f>
        <v/>
      </c>
      <c r="W32" s="14">
        <f>IF(V32="","",IF(V32="Operator","Teach. Run the after-action review.",IF(V32="Natural","Vocabulary only. Judgment already transfers.",IF(V32="Honest beginner","The full sequence: terms, then scenarios, then rehearsal.","Scenarios first, autonomy last, whatever their confidence says."))))</f>
        <v/>
      </c>
      <c r="X32" s="14">
        <f>IF(V32="","",IF(T32&gt;=2.5,"Grant on evidence",IF(T32&gt;=2,"Supervised","Hold")))</f>
        <v/>
      </c>
      <c r="Y32" s="18" t="n"/>
      <c r="Z32" s="18" t="n"/>
    </row>
    <row r="33">
      <c r="A33" s="18" t="n"/>
      <c r="B33" s="18" t="n"/>
      <c r="C33" s="19" t="n"/>
      <c r="D33" s="19" t="n"/>
      <c r="E33" s="19" t="n"/>
      <c r="F33" s="19" t="n"/>
      <c r="G33" s="19" t="n"/>
      <c r="H33" s="19" t="n"/>
      <c r="I33" s="19" t="n"/>
      <c r="J33" s="19" t="n"/>
      <c r="K33" s="19" t="n"/>
      <c r="L33" s="19" t="n"/>
      <c r="M33" s="20">
        <f>IF(A33="","",IF(COUNTA(C33:L33)&lt;10,"",IF(UPPER(TRIM(C33))='Answer Key'!$B$1,1,0)+IF(UPPER(TRIM(D33))='Answer Key'!$B$2,1,0)+IF(UPPER(TRIM(E33))='Answer Key'!$B$3,1,0)+IF(UPPER(TRIM(F33))='Answer Key'!$B$4,1,0)+IF(UPPER(TRIM(G33))='Answer Key'!$B$5,1,0)+IF(UPPER(TRIM(H33))='Answer Key'!$B$6,1,0)+IF(UPPER(TRIM(I33))='Answer Key'!$B$7,1,0)+IF(UPPER(TRIM(J33))='Answer Key'!$B$8,1,0)+IF(UPPER(TRIM(K33))='Answer Key'!$B$9,1,0)+IF(UPPER(TRIM(L33))='Answer Key'!$B$10,1,0)))</f>
        <v/>
      </c>
      <c r="N33" s="19" t="n"/>
      <c r="O33" s="19" t="n"/>
      <c r="P33" s="19" t="n"/>
      <c r="Q33" s="19" t="n"/>
      <c r="R33" s="19" t="n"/>
      <c r="S33" s="19" t="n"/>
      <c r="T33" s="14">
        <f>IF(A33="","",IF(COUNT(N33:S33)&lt;6,"",ROUND(AVERAGE(N33:S33),1)))</f>
        <v/>
      </c>
      <c r="U33" s="14">
        <f>IF(T33="","",INDEX($N$4:$S$4,MATCH(MIN(N33:S33),N33:S33,0)))</f>
        <v/>
      </c>
      <c r="V33" s="14">
        <f>IF(OR(M33="",T33=""),"",IF(M33&gt;=8,IF(T33&gt;=2.5,"Operator","Confident beginner"),IF(T33&gt;=2.5,"Natural","Honest beginner")))</f>
        <v/>
      </c>
      <c r="W33" s="14">
        <f>IF(V33="","",IF(V33="Operator","Teach. Run the after-action review.",IF(V33="Natural","Vocabulary only. Judgment already transfers.",IF(V33="Honest beginner","The full sequence: terms, then scenarios, then rehearsal.","Scenarios first, autonomy last, whatever their confidence says."))))</f>
        <v/>
      </c>
      <c r="X33" s="14">
        <f>IF(V33="","",IF(T33&gt;=2.5,"Grant on evidence",IF(T33&gt;=2,"Supervised","Hold")))</f>
        <v/>
      </c>
      <c r="Y33" s="18" t="n"/>
      <c r="Z33" s="18" t="n"/>
    </row>
    <row r="34">
      <c r="A34" s="18" t="n"/>
      <c r="B34" s="18" t="n"/>
      <c r="C34" s="19" t="n"/>
      <c r="D34" s="19" t="n"/>
      <c r="E34" s="19" t="n"/>
      <c r="F34" s="19" t="n"/>
      <c r="G34" s="19" t="n"/>
      <c r="H34" s="19" t="n"/>
      <c r="I34" s="19" t="n"/>
      <c r="J34" s="19" t="n"/>
      <c r="K34" s="19" t="n"/>
      <c r="L34" s="19" t="n"/>
      <c r="M34" s="20">
        <f>IF(A34="","",IF(COUNTA(C34:L34)&lt;10,"",IF(UPPER(TRIM(C34))='Answer Key'!$B$1,1,0)+IF(UPPER(TRIM(D34))='Answer Key'!$B$2,1,0)+IF(UPPER(TRIM(E34))='Answer Key'!$B$3,1,0)+IF(UPPER(TRIM(F34))='Answer Key'!$B$4,1,0)+IF(UPPER(TRIM(G34))='Answer Key'!$B$5,1,0)+IF(UPPER(TRIM(H34))='Answer Key'!$B$6,1,0)+IF(UPPER(TRIM(I34))='Answer Key'!$B$7,1,0)+IF(UPPER(TRIM(J34))='Answer Key'!$B$8,1,0)+IF(UPPER(TRIM(K34))='Answer Key'!$B$9,1,0)+IF(UPPER(TRIM(L34))='Answer Key'!$B$10,1,0)))</f>
        <v/>
      </c>
      <c r="N34" s="19" t="n"/>
      <c r="O34" s="19" t="n"/>
      <c r="P34" s="19" t="n"/>
      <c r="Q34" s="19" t="n"/>
      <c r="R34" s="19" t="n"/>
      <c r="S34" s="19" t="n"/>
      <c r="T34" s="14">
        <f>IF(A34="","",IF(COUNT(N34:S34)&lt;6,"",ROUND(AVERAGE(N34:S34),1)))</f>
        <v/>
      </c>
      <c r="U34" s="14">
        <f>IF(T34="","",INDEX($N$4:$S$4,MATCH(MIN(N34:S34),N34:S34,0)))</f>
        <v/>
      </c>
      <c r="V34" s="14">
        <f>IF(OR(M34="",T34=""),"",IF(M34&gt;=8,IF(T34&gt;=2.5,"Operator","Confident beginner"),IF(T34&gt;=2.5,"Natural","Honest beginner")))</f>
        <v/>
      </c>
      <c r="W34" s="14">
        <f>IF(V34="","",IF(V34="Operator","Teach. Run the after-action review.",IF(V34="Natural","Vocabulary only. Judgment already transfers.",IF(V34="Honest beginner","The full sequence: terms, then scenarios, then rehearsal.","Scenarios first, autonomy last, whatever their confidence says."))))</f>
        <v/>
      </c>
      <c r="X34" s="14">
        <f>IF(V34="","",IF(T34&gt;=2.5,"Grant on evidence",IF(T34&gt;=2,"Supervised","Hold")))</f>
        <v/>
      </c>
      <c r="Y34" s="18" t="n"/>
      <c r="Z34" s="18" t="n"/>
    </row>
    <row r="35">
      <c r="A35" s="18" t="n"/>
      <c r="B35" s="18" t="n"/>
      <c r="C35" s="19" t="n"/>
      <c r="D35" s="19" t="n"/>
      <c r="E35" s="19" t="n"/>
      <c r="F35" s="19" t="n"/>
      <c r="G35" s="19" t="n"/>
      <c r="H35" s="19" t="n"/>
      <c r="I35" s="19" t="n"/>
      <c r="J35" s="19" t="n"/>
      <c r="K35" s="19" t="n"/>
      <c r="L35" s="19" t="n"/>
      <c r="M35" s="20">
        <f>IF(A35="","",IF(COUNTA(C35:L35)&lt;10,"",IF(UPPER(TRIM(C35))='Answer Key'!$B$1,1,0)+IF(UPPER(TRIM(D35))='Answer Key'!$B$2,1,0)+IF(UPPER(TRIM(E35))='Answer Key'!$B$3,1,0)+IF(UPPER(TRIM(F35))='Answer Key'!$B$4,1,0)+IF(UPPER(TRIM(G35))='Answer Key'!$B$5,1,0)+IF(UPPER(TRIM(H35))='Answer Key'!$B$6,1,0)+IF(UPPER(TRIM(I35))='Answer Key'!$B$7,1,0)+IF(UPPER(TRIM(J35))='Answer Key'!$B$8,1,0)+IF(UPPER(TRIM(K35))='Answer Key'!$B$9,1,0)+IF(UPPER(TRIM(L35))='Answer Key'!$B$10,1,0)))</f>
        <v/>
      </c>
      <c r="N35" s="19" t="n"/>
      <c r="O35" s="19" t="n"/>
      <c r="P35" s="19" t="n"/>
      <c r="Q35" s="19" t="n"/>
      <c r="R35" s="19" t="n"/>
      <c r="S35" s="19" t="n"/>
      <c r="T35" s="14">
        <f>IF(A35="","",IF(COUNT(N35:S35)&lt;6,"",ROUND(AVERAGE(N35:S35),1)))</f>
        <v/>
      </c>
      <c r="U35" s="14">
        <f>IF(T35="","",INDEX($N$4:$S$4,MATCH(MIN(N35:S35),N35:S35,0)))</f>
        <v/>
      </c>
      <c r="V35" s="14">
        <f>IF(OR(M35="",T35=""),"",IF(M35&gt;=8,IF(T35&gt;=2.5,"Operator","Confident beginner"),IF(T35&gt;=2.5,"Natural","Honest beginner")))</f>
        <v/>
      </c>
      <c r="W35" s="14">
        <f>IF(V35="","",IF(V35="Operator","Teach. Run the after-action review.",IF(V35="Natural","Vocabulary only. Judgment already transfers.",IF(V35="Honest beginner","The full sequence: terms, then scenarios, then rehearsal.","Scenarios first, autonomy last, whatever their confidence says."))))</f>
        <v/>
      </c>
      <c r="X35" s="14">
        <f>IF(V35="","",IF(T35&gt;=2.5,"Grant on evidence",IF(T35&gt;=2,"Supervised","Hold")))</f>
        <v/>
      </c>
      <c r="Y35" s="18" t="n"/>
      <c r="Z35" s="18" t="n"/>
    </row>
    <row r="36">
      <c r="A36" s="18" t="n"/>
      <c r="B36" s="18" t="n"/>
      <c r="C36" s="19" t="n"/>
      <c r="D36" s="19" t="n"/>
      <c r="E36" s="19" t="n"/>
      <c r="F36" s="19" t="n"/>
      <c r="G36" s="19" t="n"/>
      <c r="H36" s="19" t="n"/>
      <c r="I36" s="19" t="n"/>
      <c r="J36" s="19" t="n"/>
      <c r="K36" s="19" t="n"/>
      <c r="L36" s="19" t="n"/>
      <c r="M36" s="20">
        <f>IF(A36="","",IF(COUNTA(C36:L36)&lt;10,"",IF(UPPER(TRIM(C36))='Answer Key'!$B$1,1,0)+IF(UPPER(TRIM(D36))='Answer Key'!$B$2,1,0)+IF(UPPER(TRIM(E36))='Answer Key'!$B$3,1,0)+IF(UPPER(TRIM(F36))='Answer Key'!$B$4,1,0)+IF(UPPER(TRIM(G36))='Answer Key'!$B$5,1,0)+IF(UPPER(TRIM(H36))='Answer Key'!$B$6,1,0)+IF(UPPER(TRIM(I36))='Answer Key'!$B$7,1,0)+IF(UPPER(TRIM(J36))='Answer Key'!$B$8,1,0)+IF(UPPER(TRIM(K36))='Answer Key'!$B$9,1,0)+IF(UPPER(TRIM(L36))='Answer Key'!$B$10,1,0)))</f>
        <v/>
      </c>
      <c r="N36" s="19" t="n"/>
      <c r="O36" s="19" t="n"/>
      <c r="P36" s="19" t="n"/>
      <c r="Q36" s="19" t="n"/>
      <c r="R36" s="19" t="n"/>
      <c r="S36" s="19" t="n"/>
      <c r="T36" s="14">
        <f>IF(A36="","",IF(COUNT(N36:S36)&lt;6,"",ROUND(AVERAGE(N36:S36),1)))</f>
        <v/>
      </c>
      <c r="U36" s="14">
        <f>IF(T36="","",INDEX($N$4:$S$4,MATCH(MIN(N36:S36),N36:S36,0)))</f>
        <v/>
      </c>
      <c r="V36" s="14">
        <f>IF(OR(M36="",T36=""),"",IF(M36&gt;=8,IF(T36&gt;=2.5,"Operator","Confident beginner"),IF(T36&gt;=2.5,"Natural","Honest beginner")))</f>
        <v/>
      </c>
      <c r="W36" s="14">
        <f>IF(V36="","",IF(V36="Operator","Teach. Run the after-action review.",IF(V36="Natural","Vocabulary only. Judgment already transfers.",IF(V36="Honest beginner","The full sequence: terms, then scenarios, then rehearsal.","Scenarios first, autonomy last, whatever their confidence says."))))</f>
        <v/>
      </c>
      <c r="X36" s="14">
        <f>IF(V36="","",IF(T36&gt;=2.5,"Grant on evidence",IF(T36&gt;=2,"Supervised","Hold")))</f>
        <v/>
      </c>
      <c r="Y36" s="18" t="n"/>
      <c r="Z36" s="18" t="n"/>
    </row>
    <row r="37">
      <c r="A37" s="18" t="n"/>
      <c r="B37" s="18" t="n"/>
      <c r="C37" s="19" t="n"/>
      <c r="D37" s="19" t="n"/>
      <c r="E37" s="19" t="n"/>
      <c r="F37" s="19" t="n"/>
      <c r="G37" s="19" t="n"/>
      <c r="H37" s="19" t="n"/>
      <c r="I37" s="19" t="n"/>
      <c r="J37" s="19" t="n"/>
      <c r="K37" s="19" t="n"/>
      <c r="L37" s="19" t="n"/>
      <c r="M37" s="20">
        <f>IF(A37="","",IF(COUNTA(C37:L37)&lt;10,"",IF(UPPER(TRIM(C37))='Answer Key'!$B$1,1,0)+IF(UPPER(TRIM(D37))='Answer Key'!$B$2,1,0)+IF(UPPER(TRIM(E37))='Answer Key'!$B$3,1,0)+IF(UPPER(TRIM(F37))='Answer Key'!$B$4,1,0)+IF(UPPER(TRIM(G37))='Answer Key'!$B$5,1,0)+IF(UPPER(TRIM(H37))='Answer Key'!$B$6,1,0)+IF(UPPER(TRIM(I37))='Answer Key'!$B$7,1,0)+IF(UPPER(TRIM(J37))='Answer Key'!$B$8,1,0)+IF(UPPER(TRIM(K37))='Answer Key'!$B$9,1,0)+IF(UPPER(TRIM(L37))='Answer Key'!$B$10,1,0)))</f>
        <v/>
      </c>
      <c r="N37" s="19" t="n"/>
      <c r="O37" s="19" t="n"/>
      <c r="P37" s="19" t="n"/>
      <c r="Q37" s="19" t="n"/>
      <c r="R37" s="19" t="n"/>
      <c r="S37" s="19" t="n"/>
      <c r="T37" s="14">
        <f>IF(A37="","",IF(COUNT(N37:S37)&lt;6,"",ROUND(AVERAGE(N37:S37),1)))</f>
        <v/>
      </c>
      <c r="U37" s="14">
        <f>IF(T37="","",INDEX($N$4:$S$4,MATCH(MIN(N37:S37),N37:S37,0)))</f>
        <v/>
      </c>
      <c r="V37" s="14">
        <f>IF(OR(M37="",T37=""),"",IF(M37&gt;=8,IF(T37&gt;=2.5,"Operator","Confident beginner"),IF(T37&gt;=2.5,"Natural","Honest beginner")))</f>
        <v/>
      </c>
      <c r="W37" s="14">
        <f>IF(V37="","",IF(V37="Operator","Teach. Run the after-action review.",IF(V37="Natural","Vocabulary only. Judgment already transfers.",IF(V37="Honest beginner","The full sequence: terms, then scenarios, then rehearsal.","Scenarios first, autonomy last, whatever their confidence says."))))</f>
        <v/>
      </c>
      <c r="X37" s="14">
        <f>IF(V37="","",IF(T37&gt;=2.5,"Grant on evidence",IF(T37&gt;=2,"Supervised","Hold")))</f>
        <v/>
      </c>
      <c r="Y37" s="18" t="n"/>
      <c r="Z37" s="18" t="n"/>
    </row>
    <row r="38">
      <c r="A38" s="18" t="n"/>
      <c r="B38" s="18" t="n"/>
      <c r="C38" s="19" t="n"/>
      <c r="D38" s="19" t="n"/>
      <c r="E38" s="19" t="n"/>
      <c r="F38" s="19" t="n"/>
      <c r="G38" s="19" t="n"/>
      <c r="H38" s="19" t="n"/>
      <c r="I38" s="19" t="n"/>
      <c r="J38" s="19" t="n"/>
      <c r="K38" s="19" t="n"/>
      <c r="L38" s="19" t="n"/>
      <c r="M38" s="20">
        <f>IF(A38="","",IF(COUNTA(C38:L38)&lt;10,"",IF(UPPER(TRIM(C38))='Answer Key'!$B$1,1,0)+IF(UPPER(TRIM(D38))='Answer Key'!$B$2,1,0)+IF(UPPER(TRIM(E38))='Answer Key'!$B$3,1,0)+IF(UPPER(TRIM(F38))='Answer Key'!$B$4,1,0)+IF(UPPER(TRIM(G38))='Answer Key'!$B$5,1,0)+IF(UPPER(TRIM(H38))='Answer Key'!$B$6,1,0)+IF(UPPER(TRIM(I38))='Answer Key'!$B$7,1,0)+IF(UPPER(TRIM(J38))='Answer Key'!$B$8,1,0)+IF(UPPER(TRIM(K38))='Answer Key'!$B$9,1,0)+IF(UPPER(TRIM(L38))='Answer Key'!$B$10,1,0)))</f>
        <v/>
      </c>
      <c r="N38" s="19" t="n"/>
      <c r="O38" s="19" t="n"/>
      <c r="P38" s="19" t="n"/>
      <c r="Q38" s="19" t="n"/>
      <c r="R38" s="19" t="n"/>
      <c r="S38" s="19" t="n"/>
      <c r="T38" s="14">
        <f>IF(A38="","",IF(COUNT(N38:S38)&lt;6,"",ROUND(AVERAGE(N38:S38),1)))</f>
        <v/>
      </c>
      <c r="U38" s="14">
        <f>IF(T38="","",INDEX($N$4:$S$4,MATCH(MIN(N38:S38),N38:S38,0)))</f>
        <v/>
      </c>
      <c r="V38" s="14">
        <f>IF(OR(M38="",T38=""),"",IF(M38&gt;=8,IF(T38&gt;=2.5,"Operator","Confident beginner"),IF(T38&gt;=2.5,"Natural","Honest beginner")))</f>
        <v/>
      </c>
      <c r="W38" s="14">
        <f>IF(V38="","",IF(V38="Operator","Teach. Run the after-action review.",IF(V38="Natural","Vocabulary only. Judgment already transfers.",IF(V38="Honest beginner","The full sequence: terms, then scenarios, then rehearsal.","Scenarios first, autonomy last, whatever their confidence says."))))</f>
        <v/>
      </c>
      <c r="X38" s="14">
        <f>IF(V38="","",IF(T38&gt;=2.5,"Grant on evidence",IF(T38&gt;=2,"Supervised","Hold")))</f>
        <v/>
      </c>
      <c r="Y38" s="18" t="n"/>
      <c r="Z38" s="18" t="n"/>
    </row>
    <row r="39">
      <c r="A39" s="18" t="n"/>
      <c r="B39" s="18" t="n"/>
      <c r="C39" s="19" t="n"/>
      <c r="D39" s="19" t="n"/>
      <c r="E39" s="19" t="n"/>
      <c r="F39" s="19" t="n"/>
      <c r="G39" s="19" t="n"/>
      <c r="H39" s="19" t="n"/>
      <c r="I39" s="19" t="n"/>
      <c r="J39" s="19" t="n"/>
      <c r="K39" s="19" t="n"/>
      <c r="L39" s="19" t="n"/>
      <c r="M39" s="20">
        <f>IF(A39="","",IF(COUNTA(C39:L39)&lt;10,"",IF(UPPER(TRIM(C39))='Answer Key'!$B$1,1,0)+IF(UPPER(TRIM(D39))='Answer Key'!$B$2,1,0)+IF(UPPER(TRIM(E39))='Answer Key'!$B$3,1,0)+IF(UPPER(TRIM(F39))='Answer Key'!$B$4,1,0)+IF(UPPER(TRIM(G39))='Answer Key'!$B$5,1,0)+IF(UPPER(TRIM(H39))='Answer Key'!$B$6,1,0)+IF(UPPER(TRIM(I39))='Answer Key'!$B$7,1,0)+IF(UPPER(TRIM(J39))='Answer Key'!$B$8,1,0)+IF(UPPER(TRIM(K39))='Answer Key'!$B$9,1,0)+IF(UPPER(TRIM(L39))='Answer Key'!$B$10,1,0)))</f>
        <v/>
      </c>
      <c r="N39" s="19" t="n"/>
      <c r="O39" s="19" t="n"/>
      <c r="P39" s="19" t="n"/>
      <c r="Q39" s="19" t="n"/>
      <c r="R39" s="19" t="n"/>
      <c r="S39" s="19" t="n"/>
      <c r="T39" s="14">
        <f>IF(A39="","",IF(COUNT(N39:S39)&lt;6,"",ROUND(AVERAGE(N39:S39),1)))</f>
        <v/>
      </c>
      <c r="U39" s="14">
        <f>IF(T39="","",INDEX($N$4:$S$4,MATCH(MIN(N39:S39),N39:S39,0)))</f>
        <v/>
      </c>
      <c r="V39" s="14">
        <f>IF(OR(M39="",T39=""),"",IF(M39&gt;=8,IF(T39&gt;=2.5,"Operator","Confident beginner"),IF(T39&gt;=2.5,"Natural","Honest beginner")))</f>
        <v/>
      </c>
      <c r="W39" s="14">
        <f>IF(V39="","",IF(V39="Operator","Teach. Run the after-action review.",IF(V39="Natural","Vocabulary only. Judgment already transfers.",IF(V39="Honest beginner","The full sequence: terms, then scenarios, then rehearsal.","Scenarios first, autonomy last, whatever their confidence says."))))</f>
        <v/>
      </c>
      <c r="X39" s="14">
        <f>IF(V39="","",IF(T39&gt;=2.5,"Grant on evidence",IF(T39&gt;=2,"Supervised","Hold")))</f>
        <v/>
      </c>
      <c r="Y39" s="18" t="n"/>
      <c r="Z39" s="18" t="n"/>
    </row>
    <row r="40">
      <c r="A40" s="18" t="n"/>
      <c r="B40" s="18" t="n"/>
      <c r="C40" s="19" t="n"/>
      <c r="D40" s="19" t="n"/>
      <c r="E40" s="19" t="n"/>
      <c r="F40" s="19" t="n"/>
      <c r="G40" s="19" t="n"/>
      <c r="H40" s="19" t="n"/>
      <c r="I40" s="19" t="n"/>
      <c r="J40" s="19" t="n"/>
      <c r="K40" s="19" t="n"/>
      <c r="L40" s="19" t="n"/>
      <c r="M40" s="20">
        <f>IF(A40="","",IF(COUNTA(C40:L40)&lt;10,"",IF(UPPER(TRIM(C40))='Answer Key'!$B$1,1,0)+IF(UPPER(TRIM(D40))='Answer Key'!$B$2,1,0)+IF(UPPER(TRIM(E40))='Answer Key'!$B$3,1,0)+IF(UPPER(TRIM(F40))='Answer Key'!$B$4,1,0)+IF(UPPER(TRIM(G40))='Answer Key'!$B$5,1,0)+IF(UPPER(TRIM(H40))='Answer Key'!$B$6,1,0)+IF(UPPER(TRIM(I40))='Answer Key'!$B$7,1,0)+IF(UPPER(TRIM(J40))='Answer Key'!$B$8,1,0)+IF(UPPER(TRIM(K40))='Answer Key'!$B$9,1,0)+IF(UPPER(TRIM(L40))='Answer Key'!$B$10,1,0)))</f>
        <v/>
      </c>
      <c r="N40" s="19" t="n"/>
      <c r="O40" s="19" t="n"/>
      <c r="P40" s="19" t="n"/>
      <c r="Q40" s="19" t="n"/>
      <c r="R40" s="19" t="n"/>
      <c r="S40" s="19" t="n"/>
      <c r="T40" s="14">
        <f>IF(A40="","",IF(COUNT(N40:S40)&lt;6,"",ROUND(AVERAGE(N40:S40),1)))</f>
        <v/>
      </c>
      <c r="U40" s="14">
        <f>IF(T40="","",INDEX($N$4:$S$4,MATCH(MIN(N40:S40),N40:S40,0)))</f>
        <v/>
      </c>
      <c r="V40" s="14">
        <f>IF(OR(M40="",T40=""),"",IF(M40&gt;=8,IF(T40&gt;=2.5,"Operator","Confident beginner"),IF(T40&gt;=2.5,"Natural","Honest beginner")))</f>
        <v/>
      </c>
      <c r="W40" s="14">
        <f>IF(V40="","",IF(V40="Operator","Teach. Run the after-action review.",IF(V40="Natural","Vocabulary only. Judgment already transfers.",IF(V40="Honest beginner","The full sequence: terms, then scenarios, then rehearsal.","Scenarios first, autonomy last, whatever their confidence says."))))</f>
        <v/>
      </c>
      <c r="X40" s="14">
        <f>IF(V40="","",IF(T40&gt;=2.5,"Grant on evidence",IF(T40&gt;=2,"Supervised","Hold")))</f>
        <v/>
      </c>
      <c r="Y40" s="18" t="n"/>
      <c r="Z40" s="18" t="n"/>
    </row>
    <row r="41">
      <c r="A41" s="18" t="n"/>
      <c r="B41" s="18" t="n"/>
      <c r="C41" s="19" t="n"/>
      <c r="D41" s="19" t="n"/>
      <c r="E41" s="19" t="n"/>
      <c r="F41" s="19" t="n"/>
      <c r="G41" s="19" t="n"/>
      <c r="H41" s="19" t="n"/>
      <c r="I41" s="19" t="n"/>
      <c r="J41" s="19" t="n"/>
      <c r="K41" s="19" t="n"/>
      <c r="L41" s="19" t="n"/>
      <c r="M41" s="20">
        <f>IF(A41="","",IF(COUNTA(C41:L41)&lt;10,"",IF(UPPER(TRIM(C41))='Answer Key'!$B$1,1,0)+IF(UPPER(TRIM(D41))='Answer Key'!$B$2,1,0)+IF(UPPER(TRIM(E41))='Answer Key'!$B$3,1,0)+IF(UPPER(TRIM(F41))='Answer Key'!$B$4,1,0)+IF(UPPER(TRIM(G41))='Answer Key'!$B$5,1,0)+IF(UPPER(TRIM(H41))='Answer Key'!$B$6,1,0)+IF(UPPER(TRIM(I41))='Answer Key'!$B$7,1,0)+IF(UPPER(TRIM(J41))='Answer Key'!$B$8,1,0)+IF(UPPER(TRIM(K41))='Answer Key'!$B$9,1,0)+IF(UPPER(TRIM(L41))='Answer Key'!$B$10,1,0)))</f>
        <v/>
      </c>
      <c r="N41" s="19" t="n"/>
      <c r="O41" s="19" t="n"/>
      <c r="P41" s="19" t="n"/>
      <c r="Q41" s="19" t="n"/>
      <c r="R41" s="19" t="n"/>
      <c r="S41" s="19" t="n"/>
      <c r="T41" s="14">
        <f>IF(A41="","",IF(COUNT(N41:S41)&lt;6,"",ROUND(AVERAGE(N41:S41),1)))</f>
        <v/>
      </c>
      <c r="U41" s="14">
        <f>IF(T41="","",INDEX($N$4:$S$4,MATCH(MIN(N41:S41),N41:S41,0)))</f>
        <v/>
      </c>
      <c r="V41" s="14">
        <f>IF(OR(M41="",T41=""),"",IF(M41&gt;=8,IF(T41&gt;=2.5,"Operator","Confident beginner"),IF(T41&gt;=2.5,"Natural","Honest beginner")))</f>
        <v/>
      </c>
      <c r="W41" s="14">
        <f>IF(V41="","",IF(V41="Operator","Teach. Run the after-action review.",IF(V41="Natural","Vocabulary only. Judgment already transfers.",IF(V41="Honest beginner","The full sequence: terms, then scenarios, then rehearsal.","Scenarios first, autonomy last, whatever their confidence says."))))</f>
        <v/>
      </c>
      <c r="X41" s="14">
        <f>IF(V41="","",IF(T41&gt;=2.5,"Grant on evidence",IF(T41&gt;=2,"Supervised","Hold")))</f>
        <v/>
      </c>
      <c r="Y41" s="18" t="n"/>
      <c r="Z41" s="18" t="n"/>
    </row>
    <row r="42">
      <c r="A42" s="18" t="n"/>
      <c r="B42" s="18" t="n"/>
      <c r="C42" s="19" t="n"/>
      <c r="D42" s="19" t="n"/>
      <c r="E42" s="19" t="n"/>
      <c r="F42" s="19" t="n"/>
      <c r="G42" s="19" t="n"/>
      <c r="H42" s="19" t="n"/>
      <c r="I42" s="19" t="n"/>
      <c r="J42" s="19" t="n"/>
      <c r="K42" s="19" t="n"/>
      <c r="L42" s="19" t="n"/>
      <c r="M42" s="20">
        <f>IF(A42="","",IF(COUNTA(C42:L42)&lt;10,"",IF(UPPER(TRIM(C42))='Answer Key'!$B$1,1,0)+IF(UPPER(TRIM(D42))='Answer Key'!$B$2,1,0)+IF(UPPER(TRIM(E42))='Answer Key'!$B$3,1,0)+IF(UPPER(TRIM(F42))='Answer Key'!$B$4,1,0)+IF(UPPER(TRIM(G42))='Answer Key'!$B$5,1,0)+IF(UPPER(TRIM(H42))='Answer Key'!$B$6,1,0)+IF(UPPER(TRIM(I42))='Answer Key'!$B$7,1,0)+IF(UPPER(TRIM(J42))='Answer Key'!$B$8,1,0)+IF(UPPER(TRIM(K42))='Answer Key'!$B$9,1,0)+IF(UPPER(TRIM(L42))='Answer Key'!$B$10,1,0)))</f>
        <v/>
      </c>
      <c r="N42" s="19" t="n"/>
      <c r="O42" s="19" t="n"/>
      <c r="P42" s="19" t="n"/>
      <c r="Q42" s="19" t="n"/>
      <c r="R42" s="19" t="n"/>
      <c r="S42" s="19" t="n"/>
      <c r="T42" s="14">
        <f>IF(A42="","",IF(COUNT(N42:S42)&lt;6,"",ROUND(AVERAGE(N42:S42),1)))</f>
        <v/>
      </c>
      <c r="U42" s="14">
        <f>IF(T42="","",INDEX($N$4:$S$4,MATCH(MIN(N42:S42),N42:S42,0)))</f>
        <v/>
      </c>
      <c r="V42" s="14">
        <f>IF(OR(M42="",T42=""),"",IF(M42&gt;=8,IF(T42&gt;=2.5,"Operator","Confident beginner"),IF(T42&gt;=2.5,"Natural","Honest beginner")))</f>
        <v/>
      </c>
      <c r="W42" s="14">
        <f>IF(V42="","",IF(V42="Operator","Teach. Run the after-action review.",IF(V42="Natural","Vocabulary only. Judgment already transfers.",IF(V42="Honest beginner","The full sequence: terms, then scenarios, then rehearsal.","Scenarios first, autonomy last, whatever their confidence says."))))</f>
        <v/>
      </c>
      <c r="X42" s="14">
        <f>IF(V42="","",IF(T42&gt;=2.5,"Grant on evidence",IF(T42&gt;=2,"Supervised","Hold")))</f>
        <v/>
      </c>
      <c r="Y42" s="18" t="n"/>
      <c r="Z42" s="18" t="n"/>
    </row>
    <row r="43">
      <c r="A43" s="18" t="n"/>
      <c r="B43" s="18" t="n"/>
      <c r="C43" s="19" t="n"/>
      <c r="D43" s="19" t="n"/>
      <c r="E43" s="19" t="n"/>
      <c r="F43" s="19" t="n"/>
      <c r="G43" s="19" t="n"/>
      <c r="H43" s="19" t="n"/>
      <c r="I43" s="19" t="n"/>
      <c r="J43" s="19" t="n"/>
      <c r="K43" s="19" t="n"/>
      <c r="L43" s="19" t="n"/>
      <c r="M43" s="20">
        <f>IF(A43="","",IF(COUNTA(C43:L43)&lt;10,"",IF(UPPER(TRIM(C43))='Answer Key'!$B$1,1,0)+IF(UPPER(TRIM(D43))='Answer Key'!$B$2,1,0)+IF(UPPER(TRIM(E43))='Answer Key'!$B$3,1,0)+IF(UPPER(TRIM(F43))='Answer Key'!$B$4,1,0)+IF(UPPER(TRIM(G43))='Answer Key'!$B$5,1,0)+IF(UPPER(TRIM(H43))='Answer Key'!$B$6,1,0)+IF(UPPER(TRIM(I43))='Answer Key'!$B$7,1,0)+IF(UPPER(TRIM(J43))='Answer Key'!$B$8,1,0)+IF(UPPER(TRIM(K43))='Answer Key'!$B$9,1,0)+IF(UPPER(TRIM(L43))='Answer Key'!$B$10,1,0)))</f>
        <v/>
      </c>
      <c r="N43" s="19" t="n"/>
      <c r="O43" s="19" t="n"/>
      <c r="P43" s="19" t="n"/>
      <c r="Q43" s="19" t="n"/>
      <c r="R43" s="19" t="n"/>
      <c r="S43" s="19" t="n"/>
      <c r="T43" s="14">
        <f>IF(A43="","",IF(COUNT(N43:S43)&lt;6,"",ROUND(AVERAGE(N43:S43),1)))</f>
        <v/>
      </c>
      <c r="U43" s="14">
        <f>IF(T43="","",INDEX($N$4:$S$4,MATCH(MIN(N43:S43),N43:S43,0)))</f>
        <v/>
      </c>
      <c r="V43" s="14">
        <f>IF(OR(M43="",T43=""),"",IF(M43&gt;=8,IF(T43&gt;=2.5,"Operator","Confident beginner"),IF(T43&gt;=2.5,"Natural","Honest beginner")))</f>
        <v/>
      </c>
      <c r="W43" s="14">
        <f>IF(V43="","",IF(V43="Operator","Teach. Run the after-action review.",IF(V43="Natural","Vocabulary only. Judgment already transfers.",IF(V43="Honest beginner","The full sequence: terms, then scenarios, then rehearsal.","Scenarios first, autonomy last, whatever their confidence says."))))</f>
        <v/>
      </c>
      <c r="X43" s="14">
        <f>IF(V43="","",IF(T43&gt;=2.5,"Grant on evidence",IF(T43&gt;=2,"Supervised","Hold")))</f>
        <v/>
      </c>
      <c r="Y43" s="18" t="n"/>
      <c r="Z43" s="18" t="n"/>
    </row>
    <row r="44">
      <c r="A44" s="18" t="n"/>
      <c r="B44" s="18" t="n"/>
      <c r="C44" s="19" t="n"/>
      <c r="D44" s="19" t="n"/>
      <c r="E44" s="19" t="n"/>
      <c r="F44" s="19" t="n"/>
      <c r="G44" s="19" t="n"/>
      <c r="H44" s="19" t="n"/>
      <c r="I44" s="19" t="n"/>
      <c r="J44" s="19" t="n"/>
      <c r="K44" s="19" t="n"/>
      <c r="L44" s="19" t="n"/>
      <c r="M44" s="20">
        <f>IF(A44="","",IF(COUNTA(C44:L44)&lt;10,"",IF(UPPER(TRIM(C44))='Answer Key'!$B$1,1,0)+IF(UPPER(TRIM(D44))='Answer Key'!$B$2,1,0)+IF(UPPER(TRIM(E44))='Answer Key'!$B$3,1,0)+IF(UPPER(TRIM(F44))='Answer Key'!$B$4,1,0)+IF(UPPER(TRIM(G44))='Answer Key'!$B$5,1,0)+IF(UPPER(TRIM(H44))='Answer Key'!$B$6,1,0)+IF(UPPER(TRIM(I44))='Answer Key'!$B$7,1,0)+IF(UPPER(TRIM(J44))='Answer Key'!$B$8,1,0)+IF(UPPER(TRIM(K44))='Answer Key'!$B$9,1,0)+IF(UPPER(TRIM(L44))='Answer Key'!$B$10,1,0)))</f>
        <v/>
      </c>
      <c r="N44" s="19" t="n"/>
      <c r="O44" s="19" t="n"/>
      <c r="P44" s="19" t="n"/>
      <c r="Q44" s="19" t="n"/>
      <c r="R44" s="19" t="n"/>
      <c r="S44" s="19" t="n"/>
      <c r="T44" s="14">
        <f>IF(A44="","",IF(COUNT(N44:S44)&lt;6,"",ROUND(AVERAGE(N44:S44),1)))</f>
        <v/>
      </c>
      <c r="U44" s="14">
        <f>IF(T44="","",INDEX($N$4:$S$4,MATCH(MIN(N44:S44),N44:S44,0)))</f>
        <v/>
      </c>
      <c r="V44" s="14">
        <f>IF(OR(M44="",T44=""),"",IF(M44&gt;=8,IF(T44&gt;=2.5,"Operator","Confident beginner"),IF(T44&gt;=2.5,"Natural","Honest beginner")))</f>
        <v/>
      </c>
      <c r="W44" s="14">
        <f>IF(V44="","",IF(V44="Operator","Teach. Run the after-action review.",IF(V44="Natural","Vocabulary only. Judgment already transfers.",IF(V44="Honest beginner","The full sequence: terms, then scenarios, then rehearsal.","Scenarios first, autonomy last, whatever their confidence says."))))</f>
        <v/>
      </c>
      <c r="X44" s="14">
        <f>IF(V44="","",IF(T44&gt;=2.5,"Grant on evidence",IF(T44&gt;=2,"Supervised","Hold")))</f>
        <v/>
      </c>
      <c r="Y44" s="18" t="n"/>
      <c r="Z44" s="18" t="n"/>
    </row>
    <row r="47">
      <c r="A47" s="21" t="inlineStr">
        <is>
          <t>TEAM SUMMARY</t>
        </is>
      </c>
      <c r="B47" s="22" t="n"/>
      <c r="C47" s="22" t="n"/>
      <c r="D47" s="22" t="n"/>
      <c r="E47" s="22" t="n"/>
      <c r="F47" s="22" t="n"/>
      <c r="G47" s="22" t="n"/>
    </row>
    <row r="48">
      <c r="A48" s="23" t="inlineStr">
        <is>
          <t>People mapped</t>
        </is>
      </c>
      <c r="B48" s="24">
        <f>COUNTIF(A5:A44,"?*")</f>
        <v/>
      </c>
      <c r="C48" s="25" t="n"/>
    </row>
    <row r="49">
      <c r="A49" s="23" t="inlineStr">
        <is>
          <t>Operators</t>
        </is>
      </c>
      <c r="B49" s="24">
        <f>COUNTIF(V5:V44,"Operator")</f>
        <v/>
      </c>
      <c r="C49" s="25" t="n"/>
    </row>
    <row r="50">
      <c r="A50" s="23" t="inlineStr">
        <is>
          <t>Naturals</t>
        </is>
      </c>
      <c r="B50" s="24">
        <f>COUNTIF(V5:V44,"Natural")</f>
        <v/>
      </c>
      <c r="C50" s="25" t="n"/>
    </row>
    <row r="51">
      <c r="A51" s="23" t="inlineStr">
        <is>
          <t>Honest beginners</t>
        </is>
      </c>
      <c r="B51" s="24">
        <f>COUNTIF(V5:V44,"Honest beginner")</f>
        <v/>
      </c>
      <c r="C51" s="25" t="n"/>
    </row>
    <row r="52">
      <c r="A52" s="23" t="inlineStr">
        <is>
          <t>Confident beginners</t>
        </is>
      </c>
      <c r="B52" s="24">
        <f>COUNTIF(V5:V44,"Confident beginner")</f>
        <v/>
      </c>
      <c r="C52" s="25" t="n"/>
    </row>
    <row r="53">
      <c r="A53" s="23" t="inlineStr">
        <is>
          <t>Average literacy (of 10)</t>
        </is>
      </c>
      <c r="B53" s="26">
        <f>IFERROR(ROUND(AVERAGE(M5:M44),1),"")</f>
        <v/>
      </c>
      <c r="C53" s="25" t="n"/>
    </row>
    <row r="54">
      <c r="A54" s="23" t="inlineStr">
        <is>
          <t>Average capability (of 3)</t>
        </is>
      </c>
      <c r="B54" s="26">
        <f>IFERROR(ROUND(AVERAGE(T5:T44),1),"")</f>
        <v/>
      </c>
      <c r="C54" s="25" t="n"/>
    </row>
    <row r="56">
      <c r="A56" s="27" t="inlineStr">
        <is>
          <t>Team average by skill</t>
        </is>
      </c>
    </row>
    <row r="57">
      <c r="A57" s="28" t="inlineStr">
        <is>
          <t>Delegation</t>
        </is>
      </c>
      <c r="B57" s="26">
        <f>IFERROR(ROUND(AVERAGE(N5:N44),1),"")</f>
        <v/>
      </c>
      <c r="C57" s="25" t="n"/>
    </row>
    <row r="58">
      <c r="A58" s="28" t="inlineStr">
        <is>
          <t>Inquiry</t>
        </is>
      </c>
      <c r="B58" s="26">
        <f>IFERROR(ROUND(AVERAGE(O5:O44),1),"")</f>
        <v/>
      </c>
      <c r="C58" s="25" t="n"/>
    </row>
    <row r="59">
      <c r="A59" s="28" t="inlineStr">
        <is>
          <t>Output interrogation</t>
        </is>
      </c>
      <c r="B59" s="26">
        <f>IFERROR(ROUND(AVERAGE(P5:P44),1),"")</f>
        <v/>
      </c>
      <c r="C59" s="25" t="n"/>
    </row>
    <row r="60">
      <c r="A60" s="28" t="inlineStr">
        <is>
          <t>Verification judgment</t>
        </is>
      </c>
      <c r="B60" s="26">
        <f>IFERROR(ROUND(AVERAGE(Q5:Q44),1),"")</f>
        <v/>
      </c>
      <c r="C60" s="25" t="n"/>
    </row>
    <row r="61">
      <c r="A61" s="28" t="inlineStr">
        <is>
          <t>Coaching</t>
        </is>
      </c>
      <c r="B61" s="26">
        <f>IFERROR(ROUND(AVERAGE(R5:R44),1),"")</f>
        <v/>
      </c>
      <c r="C61" s="25" t="n"/>
    </row>
    <row r="62">
      <c r="A62" s="28" t="inlineStr">
        <is>
          <t>Reinvestment discipline</t>
        </is>
      </c>
      <c r="B62" s="26">
        <f>IFERROR(ROUND(AVERAGE(S5:S44),1),"")</f>
        <v/>
      </c>
      <c r="C62" s="25" t="n"/>
    </row>
    <row r="63">
      <c r="A63" s="27" t="inlineStr">
        <is>
          <t>Rehearse next</t>
        </is>
      </c>
      <c r="B63" s="29">
        <f>IFERROR(INDEX(A57:A62,MATCH(MIN(B57:B62),B57:B62,0)),"")</f>
        <v/>
      </c>
      <c r="C63" s="25" t="n"/>
    </row>
    <row r="65">
      <c r="A65" s="30" t="inlineStr">
        <is>
          <t>Training budget flows to the gap instead of the quiz, and autonomy gets granted on demonstrated judgment instead of certificates.</t>
        </is>
      </c>
    </row>
  </sheetData>
  <mergeCells count="17">
    <mergeCell ref="B52:C52"/>
    <mergeCell ref="B48:C48"/>
    <mergeCell ref="B54:C54"/>
    <mergeCell ref="B62:C62"/>
    <mergeCell ref="A65:H65"/>
    <mergeCell ref="B59:C59"/>
    <mergeCell ref="B51:C51"/>
    <mergeCell ref="A3:Z3"/>
    <mergeCell ref="B61:C61"/>
    <mergeCell ref="B60:C60"/>
    <mergeCell ref="B50:C50"/>
    <mergeCell ref="A2:Z2"/>
    <mergeCell ref="B63:C63"/>
    <mergeCell ref="B57:C57"/>
    <mergeCell ref="B49:C49"/>
    <mergeCell ref="B53:C53"/>
    <mergeCell ref="B58:C58"/>
  </mergeCells>
  <conditionalFormatting sqref="V5:V44">
    <cfRule type="expression" priority="1" dxfId="0">
      <formula>V5="Operator"</formula>
    </cfRule>
    <cfRule type="expression" priority="2" dxfId="0">
      <formula>V5="Natural"</formula>
    </cfRule>
    <cfRule type="expression" priority="3" dxfId="1">
      <formula>V5="Honest beginner"</formula>
    </cfRule>
    <cfRule type="expression" priority="4" dxfId="2">
      <formula>V5="Confident beginner"</formula>
    </cfRule>
  </conditionalFormatting>
  <conditionalFormatting sqref="N5:S44">
    <cfRule type="expression" priority="5" dxfId="3">
      <formula>N5=1</formula>
    </cfRule>
  </conditionalFormatting>
  <dataValidations count="2">
    <dataValidation sqref="C5:L44" showDropDown="0" showInputMessage="0" showErrorMessage="0" allowBlank="1" type="list">
      <formula1>"A,B,C,D"</formula1>
    </dataValidation>
    <dataValidation sqref="N5:S44" showDropDown="0" showInputMessage="0" showErrorMessage="0" allowBlank="1" type="list">
      <formula1>"1,2,3"</formula1>
    </dataValidation>
  </dataValidations>
  <pageMargins left="0.75" right="0.75" top="1" bottom="1" header="0.5" footer="0.5"/>
  <pageSetup orientation="landscape" fitToHeight="0" fitToWidth="1"/>
  <headerFooter>
    <oddHeader/>
    <oddFooter>&amp;LOnTheGrow Leadership | Capability Gap Assessment&amp;RPage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Elizabeth A. Corey</dc:creator>
  <dc:title xmlns:dc="http://purl.org/dc/elements/1.1/">Capability Gap Assessment</dc:title>
  <dcterms:created xmlns:dcterms="http://purl.org/dc/terms/" xmlns:xsi="http://www.w3.org/2001/XMLSchema-instance" xsi:type="dcterms:W3CDTF">2026-10-20T03:07:32Z</dcterms:created>
  <dcterms:modified xmlns:dcterms="http://purl.org/dc/terms/" xmlns:xsi="http://www.w3.org/2001/XMLSchema-instance" xsi:type="dcterms:W3CDTF">2026-10-20T03:07:32Z</dcterms:modified>
</cp:coreProperties>
</file>