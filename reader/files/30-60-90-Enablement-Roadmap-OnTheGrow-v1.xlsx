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Roadmap" sheetId="2" state="visible" r:id="rId2"/>
    <sheet xmlns:r="http://schemas.openxmlformats.org/officeDocument/2006/relationships" name="Day 90 Page" sheetId="3" state="visible" r:id="rId3"/>
  </sheets>
  <definedNames>
    <definedName name="_xlnm.Print_Titles" localSheetId="1">'Roadmap'!$6:$6</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18">
    <font>
      <name val="Calibri"/>
      <family val="2"/>
      <color theme="1"/>
      <sz val="11"/>
      <scheme val="minor"/>
    </font>
    <font>
      <name val="Arial"/>
      <b val="1"/>
      <color rgb="FF36294F"/>
      <sz val="20"/>
    </font>
    <font>
      <name val="Arial"/>
      <i val="1"/>
      <color rgb="FF39989E"/>
      <sz val="11"/>
    </font>
    <font>
      <name val="Arial"/>
      <color rgb="FF55505F"/>
      <sz val="8"/>
    </font>
    <font>
      <name val="Arial"/>
      <color rgb="FF26222E"/>
      <sz val="10"/>
    </font>
    <font>
      <name val="Arial"/>
      <b val="1"/>
      <color rgb="FFFFFFFF"/>
      <sz val="12"/>
    </font>
    <font>
      <name val="Arial"/>
      <b val="1"/>
      <color rgb="FF36294F"/>
      <sz val="10"/>
    </font>
    <font>
      <name val="Arial"/>
      <b val="1"/>
      <color rgb="FF36294F"/>
      <sz val="16"/>
    </font>
    <font>
      <name val="Arial"/>
      <i val="1"/>
      <color rgb="FF55505F"/>
      <sz val="9"/>
    </font>
    <font>
      <name val="Arial"/>
      <b val="1"/>
      <color rgb="FF36294F"/>
      <sz val="9"/>
    </font>
    <font>
      <name val="Arial"/>
      <b val="1"/>
      <color rgb="FF26222E"/>
      <sz val="10"/>
    </font>
    <font>
      <name val="Arial"/>
      <b val="1"/>
      <color rgb="FFFFFFFF"/>
      <sz val="9"/>
    </font>
    <font>
      <name val="Arial"/>
      <b val="1"/>
      <color rgb="FF26222E"/>
      <sz val="9"/>
    </font>
    <font>
      <name val="Arial"/>
      <color rgb="FF26222E"/>
      <sz val="9"/>
    </font>
    <font>
      <name val="Arial"/>
      <b val="1"/>
      <color rgb="FFFFFFFF"/>
      <sz val="11"/>
    </font>
    <font>
      <name val="Arial"/>
      <b val="1"/>
      <color rgb="FF2B7A7F"/>
      <sz val="10"/>
    </font>
    <font>
      <name val="Arial"/>
      <b val="1"/>
      <color rgb="FFB42318"/>
      <sz val="10"/>
    </font>
    <font>
      <name val="Arial"/>
      <i val="1"/>
      <color rgb="FF36294F"/>
      <sz val="9"/>
    </font>
  </fonts>
  <fills count="8">
    <fill>
      <patternFill/>
    </fill>
    <fill>
      <patternFill patternType="gray125"/>
    </fill>
    <fill>
      <patternFill patternType="solid">
        <fgColor rgb="FF36294F"/>
      </patternFill>
    </fill>
    <fill>
      <patternFill patternType="solid">
        <fgColor rgb="FFFFF2CC"/>
      </patternFill>
    </fill>
    <fill>
      <patternFill patternType="solid">
        <fgColor rgb="FF39989E"/>
      </patternFill>
    </fill>
    <fill>
      <patternFill patternType="solid">
        <fgColor rgb="FFF4F2F8"/>
      </patternFill>
    </fill>
    <fill>
      <patternFill patternType="solid">
        <fgColor rgb="FFEAF5F5"/>
      </patternFill>
    </fill>
    <fill>
      <patternFill patternType="solid">
        <fgColor rgb="FFE6E1EF"/>
      </patternFill>
    </fill>
  </fills>
  <borders count="6">
    <border>
      <left/>
      <right/>
      <top/>
      <bottom/>
      <diagonal/>
    </border>
    <border>
      <left style="thin">
        <color rgb="FFD9D5E2"/>
      </left>
      <right style="thin">
        <color rgb="FFD9D5E2"/>
      </right>
      <top style="thin">
        <color rgb="FFD9D5E2"/>
      </top>
      <bottom style="thin">
        <color rgb="FFD9D5E2"/>
      </bottom>
    </border>
    <border>
      <left/>
      <right/>
      <top style="thin">
        <color rgb="FFD9D5E2"/>
      </top>
      <bottom/>
      <diagonal/>
    </border>
    <border>
      <left/>
      <right style="thin">
        <color rgb="FFD9D5E2"/>
      </right>
      <top style="thin">
        <color rgb="FFD9D5E2"/>
      </top>
      <bottom/>
      <diagonal/>
    </border>
    <border>
      <left/>
      <right style="thin">
        <color rgb="FFD9D5E2"/>
      </right>
      <top style="thin">
        <color rgb="FFD9D5E2"/>
      </top>
      <bottom style="thin">
        <color rgb="FFD9D5E2"/>
      </bottom>
      <diagonal/>
    </border>
    <border>
      <left/>
      <right/>
      <top style="thin">
        <color rgb="FFD9D5E2"/>
      </top>
      <bottom style="thin">
        <color rgb="FFD9D5E2"/>
      </bottom>
      <diagonal/>
    </border>
  </borders>
  <cellStyleXfs count="1">
    <xf numFmtId="0" fontId="0" fillId="0" borderId="0"/>
  </cellStyleXfs>
  <cellXfs count="4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2"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3" fillId="0" borderId="0" pivotButton="0" quotePrefix="0" xfId="0"/>
    <xf numFmtId="0" fontId="9" fillId="0" borderId="0" pivotButton="0" quotePrefix="0" xfId="0"/>
    <xf numFmtId="0" fontId="10" fillId="3" borderId="1" applyAlignment="1" pivotButton="0" quotePrefix="0" xfId="0">
      <alignment vertical="center" wrapText="1"/>
    </xf>
    <xf numFmtId="0" fontId="0" fillId="0" borderId="4" pivotButton="0" quotePrefix="0" xfId="0"/>
    <xf numFmtId="0" fontId="10" fillId="3" borderId="1" pivotButton="0" quotePrefix="0" xfId="0"/>
    <xf numFmtId="165" fontId="10" fillId="3" borderId="1" pivotButton="0" quotePrefix="0" xfId="0"/>
    <xf numFmtId="165" fontId="10" fillId="0" borderId="0" pivotButton="0" quotePrefix="0" xfId="0"/>
    <xf numFmtId="0" fontId="11" fillId="2"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5" borderId="1" applyAlignment="1" pivotButton="0" quotePrefix="0" xfId="0">
      <alignment vertical="top" wrapText="1"/>
    </xf>
    <xf numFmtId="0" fontId="13" fillId="0" borderId="1" applyAlignment="1" pivotButton="0" quotePrefix="0" xfId="0">
      <alignment horizontal="center" vertical="top" wrapText="1"/>
    </xf>
    <xf numFmtId="0" fontId="13" fillId="0" borderId="1" applyAlignment="1" pivotButton="0" quotePrefix="0" xfId="0">
      <alignment vertical="top" wrapText="1"/>
    </xf>
    <xf numFmtId="0" fontId="13" fillId="3" borderId="1" applyAlignment="1" pivotButton="0" quotePrefix="0" xfId="0">
      <alignment vertical="top" wrapText="1"/>
    </xf>
    <xf numFmtId="165" fontId="13" fillId="0" borderId="1" applyAlignment="1" pivotButton="0" quotePrefix="0" xfId="0">
      <alignment horizontal="center" vertical="top" wrapText="1"/>
    </xf>
    <xf numFmtId="0" fontId="13" fillId="3" borderId="1" applyAlignment="1" pivotButton="0" quotePrefix="0" xfId="0">
      <alignment horizontal="center" vertical="top" wrapText="1"/>
    </xf>
    <xf numFmtId="0" fontId="12" fillId="0" borderId="1" applyAlignment="1" pivotButton="0" quotePrefix="0" xfId="0">
      <alignment horizontal="center" vertical="top" wrapText="1"/>
    </xf>
    <xf numFmtId="0" fontId="12" fillId="6" borderId="1" applyAlignment="1" pivotButton="0" quotePrefix="0" xfId="0">
      <alignment vertical="top" wrapText="1"/>
    </xf>
    <xf numFmtId="0" fontId="12" fillId="7" borderId="1" applyAlignment="1" pivotButton="0" quotePrefix="0" xfId="0">
      <alignment vertical="top" wrapText="1"/>
    </xf>
    <xf numFmtId="0" fontId="14" fillId="2" borderId="0" pivotButton="0" quotePrefix="0" xfId="0"/>
    <xf numFmtId="0" fontId="0" fillId="2" borderId="0" pivotButton="0" quotePrefix="0" xfId="0"/>
    <xf numFmtId="0" fontId="6" fillId="0" borderId="1" pivotButton="0" quotePrefix="0" xfId="0"/>
    <xf numFmtId="0" fontId="10" fillId="0" borderId="1" applyAlignment="1" pivotButton="0" quotePrefix="0" xfId="0">
      <alignment horizontal="center" vertical="center" wrapText="1"/>
    </xf>
    <xf numFmtId="9" fontId="15" fillId="0" borderId="1" applyAlignment="1" pivotButton="0" quotePrefix="0" xfId="0">
      <alignment horizontal="center" vertical="center" wrapText="1"/>
    </xf>
    <xf numFmtId="0" fontId="16" fillId="0" borderId="0" pivotButton="0" quotePrefix="0" xfId="0"/>
    <xf numFmtId="0" fontId="0" fillId="0" borderId="5" pivotButton="0" quotePrefix="0" xfId="0"/>
    <xf numFmtId="0" fontId="4" fillId="0" borderId="1" applyAlignment="1" pivotButton="0" quotePrefix="0" xfId="0">
      <alignment vertical="center" wrapText="1"/>
    </xf>
    <xf numFmtId="0" fontId="10" fillId="0" borderId="1" applyAlignment="1" pivotButton="0" quotePrefix="0" xfId="0">
      <alignment vertical="center" wrapText="1"/>
    </xf>
    <xf numFmtId="0" fontId="8" fillId="0" borderId="1" applyAlignment="1" pivotButton="0" quotePrefix="0" xfId="0">
      <alignment vertical="center" wrapText="1"/>
    </xf>
    <xf numFmtId="0" fontId="17" fillId="0" borderId="0" applyAlignment="1" pivotButton="0" quotePrefix="0" xfId="0">
      <alignment vertical="top" wrapText="1"/>
    </xf>
  </cellXfs>
  <cellStyles count="1">
    <cellStyle name="Normal" xfId="0" builtinId="0" hidden="0"/>
  </cellStyles>
  <dxfs count="4">
    <dxf>
      <font>
        <b val="1"/>
        <color rgb="FF2B7A7F"/>
      </font>
      <fill>
        <patternFill patternType="solid">
          <bgColor rgb="FFEAF5F5"/>
        </patternFill>
      </fill>
    </dxf>
    <dxf>
      <font>
        <b val="1"/>
        <color rgb="FF9A5B00"/>
      </font>
      <fill>
        <patternFill patternType="solid">
          <bgColor rgb="FFFFF4E5"/>
        </patternFill>
      </fill>
    </dxf>
    <dxf>
      <font>
        <b val="1"/>
        <color rgb="FFB42318"/>
      </font>
      <fill>
        <patternFill patternType="solid">
          <bgColor rgb="FFFDE8E8"/>
        </patternFill>
      </fill>
    </dxf>
    <dxf>
      <font>
        <b val="1"/>
        <color rgb="FF2B7A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24"/>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ht="30" customHeight="1">
      <c r="B1" s="1" t="inlineStr">
        <is>
          <t>The 30/60/90 Enablement Roadmap</t>
        </is>
      </c>
      <c r="C1" s="2" t="n"/>
    </row>
    <row r="2" ht="30" customHeight="1">
      <c r="B2" s="3" t="inlineStr">
        <is>
          <t>From AI Will Scale Good Leadership and Bad Leadership: The CHRO’s Method for Redesigning Work Before AI Scales What’s Broken, by Liz Corey  |  Chapter 14  |  OnTheGrow Leadership</t>
        </is>
      </c>
      <c r="C2" s="2" t="n"/>
    </row>
    <row r="3">
      <c r="B3" s="4" t="inlineStr">
        <is>
          <t>© 2026 Elizabeth A. Corey. All rights reserved. GROWTH Execution Model™. onthegrow.ai</t>
        </is>
      </c>
      <c r="C3" s="2" t="n"/>
    </row>
    <row r="5" ht="45" customHeight="1">
      <c r="B5" s="5" t="inlineStr">
        <is>
          <t>Every chapter ended with a move you could make with the authority you already hold. Here they become a program. Run it on one high-visibility process and one function, not the whole enterprise, because you know what multiplying the unproven costs. Ninety days, one process, one function, every instrument used once.</t>
        </is>
      </c>
      <c r="C5" s="2" t="n"/>
    </row>
    <row r="7">
      <c r="B7" s="6" t="inlineStr">
        <is>
          <t>HOW THIS WORKBOOK IS SET UP</t>
        </is>
      </c>
      <c r="C7" s="7" t="n"/>
    </row>
    <row r="8">
      <c r="B8" s="8" t="inlineStr">
        <is>
          <t>Roadmap</t>
        </is>
      </c>
      <c r="C8" s="5" t="inlineStr">
        <is>
          <t>Seventeen moves in the book’s order, in three phases. Enter your start date and an owner per move. The workbook sets every due date, flags what is overdue, and tracks percent complete by phase.</t>
        </is>
      </c>
    </row>
    <row r="9">
      <c r="B9" s="8" t="inlineStr">
        <is>
          <t>Day 90 Page</t>
        </is>
      </c>
      <c r="C9" s="5" t="inlineStr">
        <is>
          <t>The evidence you will have at the end, laid out as the report to your executive team.</t>
        </is>
      </c>
    </row>
    <row r="10">
      <c r="B10" s="8" t="inlineStr">
        <is>
          <t>Yellow cells</t>
        </is>
      </c>
      <c r="C10" s="5" t="inlineStr">
        <is>
          <t>Type in the yellow cells only. Every other cell is a formula.</t>
        </is>
      </c>
    </row>
    <row r="12">
      <c r="B12" s="6" t="inlineStr">
        <is>
          <t>THE THREE PHASES</t>
        </is>
      </c>
      <c r="C12" s="7" t="n"/>
    </row>
    <row r="13">
      <c r="B13" s="8" t="inlineStr">
        <is>
          <t>Days 1 to 30: See</t>
        </is>
      </c>
      <c r="C13" s="5" t="inlineStr">
        <is>
          <t>See the work at the task level, score the knowledge, find the agents you already have, and get the baseline pulse out. Every argument you make in month three needs this data from month one.</t>
        </is>
      </c>
    </row>
    <row r="14">
      <c r="B14" s="8" t="inlineStr">
        <is>
          <t>Days 31 to 60: Govern</t>
        </is>
      </c>
      <c r="C14" s="5" t="inlineStr">
        <is>
          <t>Put an agent under a job description, five names on the rules that move money, your own team on the capability map, a council in the room, and the truth in front of employees.</t>
        </is>
      </c>
    </row>
    <row r="15">
      <c r="B15" s="8" t="inlineStr">
        <is>
          <t>Days 61 to 90: Move</t>
        </is>
      </c>
      <c r="C15" s="5" t="inlineStr">
        <is>
          <t>Redesign the pilot process, gate the rollout, install the rhythm, run your own meeting on GROWTH, and rerun the pulse beside the efficiency numbers.</t>
        </is>
      </c>
    </row>
    <row r="17">
      <c r="B17" s="6" t="inlineStr">
        <is>
          <t>WHAT YOU WILL HAVE AT DAY 90</t>
        </is>
      </c>
      <c r="C17" s="7" t="n"/>
    </row>
    <row r="18">
      <c r="B18" s="8" t="inlineStr">
        <is>
          <t>Not a transformed company</t>
        </is>
      </c>
      <c r="C18" s="5" t="inlineStr">
        <is>
          <t>Something more valuable: a working model of the whole method, evidence with your company’s name on it, a council that outlives your attention, and the standing to say to your executive team: This works. Here’s the data. Here’s what scales next.</t>
        </is>
      </c>
    </row>
    <row r="19">
      <c r="B19" s="8" t="inlineStr">
        <is>
          <t>Measure it as if you mean to publish it</t>
        </is>
      </c>
      <c r="C19" s="5" t="inlineStr">
        <is>
          <t>This is the beginning of the before-and-after record this field badly needs. Someone should build it, and it might as well be you.</t>
        </is>
      </c>
    </row>
    <row r="21">
      <c r="B21" s="6" t="inlineStr">
        <is>
          <t>WANT IT RUN WITH YOU?</t>
        </is>
      </c>
      <c r="C21" s="7" t="n"/>
    </row>
    <row r="22">
      <c r="B22" s="8" t="inlineStr">
        <is>
          <t>Prove It on One Process</t>
        </is>
      </c>
      <c r="C22" s="5" t="inlineStr">
        <is>
          <t>The 90-day program from the book, run with your HR team: one process, every instrument used once, your team trained by doing it. Book a conversation at onthegrow.ai</t>
        </is>
      </c>
    </row>
    <row r="24">
      <c r="B24" s="4" t="inlineStr">
        <is>
          <t>© 2026 Elizabeth A. Corey. All rights reserved. GROWTH Execution Model™. onthegrow.ai</t>
        </is>
      </c>
      <c r="C24" s="2" t="n"/>
    </row>
  </sheetData>
  <mergeCells count="9">
    <mergeCell ref="B21:C21"/>
    <mergeCell ref="B2:C2"/>
    <mergeCell ref="B24:C24"/>
    <mergeCell ref="B7:C7"/>
    <mergeCell ref="B3:C3"/>
    <mergeCell ref="B5:C5"/>
    <mergeCell ref="B17:C17"/>
    <mergeCell ref="B1:C1"/>
    <mergeCell ref="B12:C12"/>
  </mergeCells>
  <pageMargins left="0.75" right="0.75" top="1" bottom="1" header="0.5" footer="0.5"/>
  <pageSetup orientation="landscape" fitToHeight="0" fitToWidth="1"/>
  <headerFooter>
    <oddHeader/>
    <oddFooter>&amp;LOnTheGrow Leadership | 30/60/90 Enablement Roadmap&amp;RPage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30"/>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48" customWidth="1" min="3" max="3"/>
    <col width="8" customWidth="1" min="4" max="4"/>
    <col width="24" customWidth="1" min="5" max="5"/>
    <col width="40" customWidth="1" min="6" max="6"/>
    <col width="18" customWidth="1" min="7" max="7"/>
    <col width="11" customWidth="1" min="8" max="8"/>
    <col width="13" customWidth="1" min="9" max="9"/>
    <col width="14" customWidth="1" min="10" max="10"/>
    <col width="30" customWidth="1" min="11" max="11"/>
  </cols>
  <sheetData>
    <row r="1">
      <c r="A1" s="9" t="inlineStr">
        <is>
          <t>The First Ninety Days</t>
        </is>
      </c>
    </row>
    <row r="2" ht="28" customHeight="1">
      <c r="A2" s="10" t="inlineStr">
        <is>
          <t>HOW TO USE THIS TAB: Enter the process, the function, and the start date in the yellow cells at the top. Then name an owner for each move and keep the status current. Due dates, overdue flags, and progress calculate.</t>
        </is>
      </c>
    </row>
    <row r="3">
      <c r="A3" s="11" t="inlineStr">
        <is>
          <t>© 2026 Elizabeth A. Corey. All rights reserved. GROWTH Execution Model™. onthegrow.ai</t>
        </is>
      </c>
    </row>
    <row r="4">
      <c r="A4" s="12" t="inlineStr">
        <is>
          <t>Process</t>
        </is>
      </c>
      <c r="B4" s="13" t="inlineStr">
        <is>
          <t>Tuition reimbursement</t>
        </is>
      </c>
      <c r="C4" s="14" t="n"/>
      <c r="D4" s="12" t="inlineStr">
        <is>
          <t>Function</t>
        </is>
      </c>
      <c r="E4" s="15" t="inlineStr">
        <is>
          <t>HR</t>
        </is>
      </c>
      <c r="F4" s="14" t="n"/>
      <c r="G4" s="12" t="inlineStr">
        <is>
          <t>Start date</t>
        </is>
      </c>
      <c r="H4" s="16" t="n">
        <v>46391</v>
      </c>
      <c r="J4" s="12" t="inlineStr">
        <is>
          <t>Today</t>
        </is>
      </c>
      <c r="K4" s="17">
        <f>TODAY()</f>
        <v/>
      </c>
    </row>
    <row r="6" ht="30" customHeight="1">
      <c r="A6" s="18" t="inlineStr">
        <is>
          <t>Phase</t>
        </is>
      </c>
      <c r="B6" s="18" t="inlineStr">
        <is>
          <t>Day</t>
        </is>
      </c>
      <c r="C6" s="18" t="inlineStr">
        <is>
          <t>Move</t>
        </is>
      </c>
      <c r="D6" s="18" t="inlineStr">
        <is>
          <t>Chapter</t>
        </is>
      </c>
      <c r="E6" s="18" t="inlineStr">
        <is>
          <t>Reader tool</t>
        </is>
      </c>
      <c r="F6" s="18" t="inlineStr">
        <is>
          <t>Done when</t>
        </is>
      </c>
      <c r="G6" s="18" t="inlineStr">
        <is>
          <t>Owner</t>
        </is>
      </c>
      <c r="H6" s="19" t="inlineStr">
        <is>
          <t>Due date</t>
        </is>
      </c>
      <c r="I6" s="18" t="inlineStr">
        <is>
          <t>Status</t>
        </is>
      </c>
      <c r="J6" s="19" t="inlineStr">
        <is>
          <t>Flag</t>
        </is>
      </c>
      <c r="K6" s="18" t="inlineStr">
        <is>
          <t>Notes</t>
        </is>
      </c>
    </row>
    <row r="7">
      <c r="A7" s="20" t="inlineStr">
        <is>
          <t>See (1 to 30)</t>
        </is>
      </c>
      <c r="B7" s="21" t="n">
        <v>10</v>
      </c>
      <c r="C7" s="22" t="inlineStr">
        <is>
          <t>Run the work inventory and taxonomy with the people closest to the work</t>
        </is>
      </c>
      <c r="D7" s="21" t="inlineStr">
        <is>
          <t>5</t>
        </is>
      </c>
      <c r="E7" s="22" t="inlineStr">
        <is>
          <t>Work Taxonomy</t>
        </is>
      </c>
      <c r="F7" s="22" t="inlineStr">
        <is>
          <t>A task list that came from the people who do the work, with numbers on every task</t>
        </is>
      </c>
      <c r="G7" s="23" t="inlineStr"/>
      <c r="H7" s="24">
        <f>IF($H$4="","",$H$4+B7-1)</f>
        <v/>
      </c>
      <c r="I7" s="25" t="inlineStr">
        <is>
          <t>Not started</t>
        </is>
      </c>
      <c r="J7" s="26">
        <f>IF(I7="Done","Done",IF(I7="Blocked","Blocked",IF(AND(H7&lt;&gt;"",H7&lt;TODAY()),"Overdue",IF(AND(H7&lt;&gt;"",H7-TODAY()&lt;=7),"Due this week",""))))</f>
        <v/>
      </c>
      <c r="K7" s="23" t="inlineStr"/>
    </row>
    <row r="8">
      <c r="A8" s="20" t="inlineStr">
        <is>
          <t>See (1 to 30)</t>
        </is>
      </c>
      <c r="B8" s="21" t="n">
        <v>18</v>
      </c>
      <c r="C8" s="22" t="inlineStr">
        <is>
          <t>Hold the matrix workshop, numbers before destinations</t>
        </is>
      </c>
      <c r="D8" s="21" t="inlineStr">
        <is>
          <t>6</t>
        </is>
      </c>
      <c r="E8" s="22" t="inlineStr">
        <is>
          <t>Work Assignment Matrix</t>
        </is>
      </c>
      <c r="F8" s="22" t="inlineStr">
        <is>
          <t>Every surviving task has a provisional destination and a named owner</t>
        </is>
      </c>
      <c r="G8" s="23" t="inlineStr"/>
      <c r="H8" s="24">
        <f>IF($H$4="","",$H$4+B8-1)</f>
        <v/>
      </c>
      <c r="I8" s="25" t="inlineStr">
        <is>
          <t>Not started</t>
        </is>
      </c>
      <c r="J8" s="26">
        <f>IF(I8="Done","Done",IF(I8="Blocked","Blocked",IF(AND(H8&lt;&gt;"",H8&lt;TODAY()),"Overdue",IF(AND(H8&lt;&gt;"",H8-TODAY()&lt;=7),"Due this week",""))))</f>
        <v/>
      </c>
      <c r="K8" s="23" t="inlineStr"/>
    </row>
    <row r="9">
      <c r="A9" s="20" t="inlineStr">
        <is>
          <t>See (1 to 30)</t>
        </is>
      </c>
      <c r="B9" s="21" t="n">
        <v>20</v>
      </c>
      <c r="C9" s="22" t="inlineStr">
        <is>
          <t>Score your twenty most-asked questions on the six knowledge tests</t>
        </is>
      </c>
      <c r="D9" s="21" t="inlineStr">
        <is>
          <t>3</t>
        </is>
      </c>
      <c r="E9" s="22" t="inlineStr">
        <is>
          <t>Knowledge Readiness Test</t>
        </is>
      </c>
      <c r="F9" s="22" t="inlineStr">
        <is>
          <t>A scored readiness baseline and a repair list in frequency order</t>
        </is>
      </c>
      <c r="G9" s="23" t="inlineStr"/>
      <c r="H9" s="24">
        <f>IF($H$4="","",$H$4+B9-1)</f>
        <v/>
      </c>
      <c r="I9" s="25" t="inlineStr">
        <is>
          <t>Not started</t>
        </is>
      </c>
      <c r="J9" s="26">
        <f>IF(I9="Done","Done",IF(I9="Blocked","Blocked",IF(AND(H9&lt;&gt;"",H9&lt;TODAY()),"Overdue",IF(AND(H9&lt;&gt;"",H9-TODAY()&lt;=7),"Due this week",""))))</f>
        <v/>
      </c>
      <c r="K9" s="23" t="inlineStr"/>
    </row>
    <row r="10">
      <c r="A10" s="20" t="inlineStr">
        <is>
          <t>See (1 to 30)</t>
        </is>
      </c>
      <c r="B10" s="21" t="n">
        <v>25</v>
      </c>
      <c r="C10" s="22" t="inlineStr">
        <is>
          <t>Demand the agent inventory from every function leader, written answer within two weeks</t>
        </is>
      </c>
      <c r="D10" s="21" t="inlineStr">
        <is>
          <t>4</t>
        </is>
      </c>
      <c r="E10" s="22" t="inlineStr">
        <is>
          <t>Agent Job Description (inventory page)</t>
        </is>
      </c>
      <c r="F10" s="22" t="inlineStr">
        <is>
          <t>Every agent already running, with or without an owner, on one list</t>
        </is>
      </c>
      <c r="G10" s="23" t="inlineStr"/>
      <c r="H10" s="24">
        <f>IF($H$4="","",$H$4+B10-1)</f>
        <v/>
      </c>
      <c r="I10" s="25" t="inlineStr">
        <is>
          <t>Not started</t>
        </is>
      </c>
      <c r="J10" s="26">
        <f>IF(I10="Done","Done",IF(I10="Blocked","Blocked",IF(AND(H10&lt;&gt;"",H10&lt;TODAY()),"Overdue",IF(AND(H10&lt;&gt;"",H10-TODAY()&lt;=7),"Due this week",""))))</f>
        <v/>
      </c>
      <c r="K10" s="23" t="inlineStr"/>
    </row>
    <row r="11">
      <c r="A11" s="20" t="inlineStr">
        <is>
          <t>See (1 to 30)</t>
        </is>
      </c>
      <c r="B11" s="21" t="n">
        <v>30</v>
      </c>
      <c r="C11" s="22" t="inlineStr">
        <is>
          <t>Get the baseline pulse out with the four listening items</t>
        </is>
      </c>
      <c r="D11" s="21" t="inlineStr">
        <is>
          <t>12</t>
        </is>
      </c>
      <c r="E11" s="22" t="inlineStr">
        <is>
          <t>AI-Era Listening Set</t>
        </is>
      </c>
      <c r="F11" s="22" t="inlineStr">
        <is>
          <t>Trust, role clarity, reinvestment, and fear, by team and by manager, before anything rolls out</t>
        </is>
      </c>
      <c r="G11" s="23" t="inlineStr"/>
      <c r="H11" s="24">
        <f>IF($H$4="","",$H$4+B11-1)</f>
        <v/>
      </c>
      <c r="I11" s="25" t="inlineStr">
        <is>
          <t>Not started</t>
        </is>
      </c>
      <c r="J11" s="26">
        <f>IF(I11="Done","Done",IF(I11="Blocked","Blocked",IF(AND(H11&lt;&gt;"",H11&lt;TODAY()),"Overdue",IF(AND(H11&lt;&gt;"",H11-TODAY()&lt;=7),"Due this week",""))))</f>
        <v/>
      </c>
      <c r="K11" s="23" t="inlineStr"/>
    </row>
    <row r="12">
      <c r="A12" s="27" t="inlineStr">
        <is>
          <t>Govern (31 to 60)</t>
        </is>
      </c>
      <c r="B12" s="21" t="n">
        <v>40</v>
      </c>
      <c r="C12" s="22" t="inlineStr">
        <is>
          <t>Write the flagship Agent Job Description with the team that owns the most consequential agent, and set the policy: no agent in production without one</t>
        </is>
      </c>
      <c r="D12" s="21" t="inlineStr">
        <is>
          <t>4</t>
        </is>
      </c>
      <c r="E12" s="22" t="inlineStr">
        <is>
          <t>Agent Job Description</t>
        </is>
      </c>
      <c r="F12" s="22" t="inlineStr">
        <is>
          <t>One signed job description, and the policy in writing</t>
        </is>
      </c>
      <c r="G12" s="23" t="inlineStr"/>
      <c r="H12" s="24">
        <f>IF($H$4="","",$H$4+B12-1)</f>
        <v/>
      </c>
      <c r="I12" s="25" t="inlineStr">
        <is>
          <t>Not started</t>
        </is>
      </c>
      <c r="J12" s="26">
        <f>IF(I12="Done","Done",IF(I12="Blocked","Blocked",IF(AND(H12&lt;&gt;"",H12&lt;TODAY()),"Overdue",IF(AND(H12&lt;&gt;"",H12-TODAY()&lt;=7),"Due this week",""))))</f>
        <v/>
      </c>
      <c r="K12" s="23" t="inlineStr"/>
    </row>
    <row r="13">
      <c r="A13" s="27" t="inlineStr">
        <is>
          <t>Govern (31 to 60)</t>
        </is>
      </c>
      <c r="B13" s="21" t="n">
        <v>45</v>
      </c>
      <c r="C13" s="22" t="inlineStr">
        <is>
          <t>Put five names on the ten rules that touch employees’ money, and take the blanks to your CFO</t>
        </is>
      </c>
      <c r="D13" s="21" t="inlineStr">
        <is>
          <t>7</t>
        </is>
      </c>
      <c r="E13" s="22" t="inlineStr">
        <is>
          <t>Decision Rights Matrix</t>
        </is>
      </c>
      <c r="F13" s="22" t="inlineStr">
        <is>
          <t>Ten rules registered; every blank has a validator and a date</t>
        </is>
      </c>
      <c r="G13" s="23" t="inlineStr"/>
      <c r="H13" s="24">
        <f>IF($H$4="","",$H$4+B13-1)</f>
        <v/>
      </c>
      <c r="I13" s="25" t="inlineStr">
        <is>
          <t>Not started</t>
        </is>
      </c>
      <c r="J13" s="26">
        <f>IF(I13="Done","Done",IF(I13="Blocked","Blocked",IF(AND(H13&lt;&gt;"",H13&lt;TODAY()),"Overdue",IF(AND(H13&lt;&gt;"",H13-TODAY()&lt;=7),"Due this week",""))))</f>
        <v/>
      </c>
      <c r="K13" s="23" t="inlineStr"/>
    </row>
    <row r="14">
      <c r="A14" s="27" t="inlineStr">
        <is>
          <t>Govern (31 to 60)</t>
        </is>
      </c>
      <c r="B14" s="21" t="n">
        <v>45</v>
      </c>
      <c r="C14" s="22" t="inlineStr">
        <is>
          <t>While with the CFO, ask what the company currently spends to run its agents, and notice how long the number takes</t>
        </is>
      </c>
      <c r="D14" s="21" t="inlineStr">
        <is>
          <t>14</t>
        </is>
      </c>
      <c r="E14" s="22" t="inlineStr"/>
      <c r="F14" s="22" t="inlineStr">
        <is>
          <t>An agent operating cost, or the finding that nobody can produce one</t>
        </is>
      </c>
      <c r="G14" s="23" t="inlineStr"/>
      <c r="H14" s="24">
        <f>IF($H$4="","",$H$4+B14-1)</f>
        <v/>
      </c>
      <c r="I14" s="25" t="inlineStr">
        <is>
          <t>Not started</t>
        </is>
      </c>
      <c r="J14" s="26">
        <f>IF(I14="Done","Done",IF(I14="Blocked","Blocked",IF(AND(H14&lt;&gt;"",H14&lt;TODAY()),"Overdue",IF(AND(H14&lt;&gt;"",H14-TODAY()&lt;=7),"Due this week",""))))</f>
        <v/>
      </c>
      <c r="K14" s="23" t="inlineStr"/>
    </row>
    <row r="15">
      <c r="A15" s="27" t="inlineStr">
        <is>
          <t>Govern (31 to 60)</t>
        </is>
      </c>
      <c r="B15" s="21" t="n">
        <v>50</v>
      </c>
      <c r="C15" s="22" t="inlineStr">
        <is>
          <t>Run the capability scenarios on your own HR leadership team before prescribing them to anyone</t>
        </is>
      </c>
      <c r="D15" s="21" t="inlineStr">
        <is>
          <t>8</t>
        </is>
      </c>
      <c r="E15" s="22" t="inlineStr">
        <is>
          <t>Capability Gap Assessment</t>
        </is>
      </c>
      <c r="F15" s="22" t="inlineStr">
        <is>
          <t>Your own team on the knowing-doing map, humbled and ready</t>
        </is>
      </c>
      <c r="G15" s="23" t="inlineStr"/>
      <c r="H15" s="24">
        <f>IF($H$4="","",$H$4+B15-1)</f>
        <v/>
      </c>
      <c r="I15" s="25" t="inlineStr">
        <is>
          <t>Not started</t>
        </is>
      </c>
      <c r="J15" s="26">
        <f>IF(I15="Done","Done",IF(I15="Blocked","Blocked",IF(AND(H15&lt;&gt;"",H15&lt;TODAY()),"Overdue",IF(AND(H15&lt;&gt;"",H15-TODAY()&lt;=7),"Due this week",""))))</f>
        <v/>
      </c>
      <c r="K15" s="23" t="inlineStr"/>
    </row>
    <row r="16">
      <c r="A16" s="27" t="inlineStr">
        <is>
          <t>Govern (31 to 60)</t>
        </is>
      </c>
      <c r="B16" s="21" t="n">
        <v>55</v>
      </c>
      <c r="C16" s="22" t="inlineStr">
        <is>
          <t>Stand up the enablement council with its four seats, its decision rights, and its sponsor</t>
        </is>
      </c>
      <c r="D16" s="21" t="inlineStr">
        <is>
          <t>14</t>
        </is>
      </c>
      <c r="E16" s="22" t="inlineStr">
        <is>
          <t>Enablement Council Charter</t>
        </is>
      </c>
      <c r="F16" s="22" t="inlineStr">
        <is>
          <t>A signed charter and a first meeting on the calendar</t>
        </is>
      </c>
      <c r="G16" s="23" t="inlineStr"/>
      <c r="H16" s="24">
        <f>IF($H$4="","",$H$4+B16-1)</f>
        <v/>
      </c>
      <c r="I16" s="25" t="inlineStr">
        <is>
          <t>Not started</t>
        </is>
      </c>
      <c r="J16" s="26">
        <f>IF(I16="Done","Done",IF(I16="Blocked","Blocked",IF(AND(H16&lt;&gt;"",H16&lt;TODAY()),"Overdue",IF(AND(H16&lt;&gt;"",H16-TODAY()&lt;=7),"Due this week",""))))</f>
        <v/>
      </c>
      <c r="K16" s="23" t="inlineStr"/>
    </row>
    <row r="17">
      <c r="A17" s="27" t="inlineStr">
        <is>
          <t>Govern (31 to 60)</t>
        </is>
      </c>
      <c r="B17" s="21" t="n">
        <v>60</v>
      </c>
      <c r="C17" s="22" t="inlineStr">
        <is>
          <t>Have the CEO deliver the three-part no-surprises message about AI and jobs</t>
        </is>
      </c>
      <c r="D17" s="21" t="inlineStr">
        <is>
          <t>13</t>
        </is>
      </c>
      <c r="E17" s="22" t="inlineStr">
        <is>
          <t>No-Surprises Protocol</t>
        </is>
      </c>
      <c r="F17" s="22" t="inlineStr">
        <is>
          <t>The message delivered, before any more rollouts</t>
        </is>
      </c>
      <c r="G17" s="23" t="inlineStr"/>
      <c r="H17" s="24">
        <f>IF($H$4="","",$H$4+B17-1)</f>
        <v/>
      </c>
      <c r="I17" s="25" t="inlineStr">
        <is>
          <t>Not started</t>
        </is>
      </c>
      <c r="J17" s="26">
        <f>IF(I17="Done","Done",IF(I17="Blocked","Blocked",IF(AND(H17&lt;&gt;"",H17&lt;TODAY()),"Overdue",IF(AND(H17&lt;&gt;"",H17-TODAY()&lt;=7),"Due this week",""))))</f>
        <v/>
      </c>
      <c r="K17" s="23" t="inlineStr"/>
    </row>
    <row r="18">
      <c r="A18" s="28" t="inlineStr">
        <is>
          <t>Move (61 to 90)</t>
        </is>
      </c>
      <c r="B18" s="21" t="n">
        <v>75</v>
      </c>
      <c r="C18" s="22" t="inlineStr">
        <is>
          <t>Take the pilot process through the full redesign and run the enablement diagnostic honestly</t>
        </is>
      </c>
      <c r="D18" s="21" t="inlineStr">
        <is>
          <t>5</t>
        </is>
      </c>
      <c r="E18" s="22" t="inlineStr">
        <is>
          <t>Seven-Step Redesign Run Sheet</t>
        </is>
      </c>
      <c r="F18" s="22" t="inlineStr">
        <is>
          <t>Five yeses, or an honest count of fewer</t>
        </is>
      </c>
      <c r="G18" s="23" t="inlineStr"/>
      <c r="H18" s="24">
        <f>IF($H$4="","",$H$4+B18-1)</f>
        <v/>
      </c>
      <c r="I18" s="25" t="inlineStr">
        <is>
          <t>Not started</t>
        </is>
      </c>
      <c r="J18" s="26">
        <f>IF(I18="Done","Done",IF(I18="Blocked","Blocked",IF(AND(H18&lt;&gt;"",H18&lt;TODAY()),"Overdue",IF(AND(H18&lt;&gt;"",H18-TODAY()&lt;=7),"Due this week",""))))</f>
        <v/>
      </c>
      <c r="K18" s="23" t="inlineStr"/>
    </row>
    <row r="19">
      <c r="A19" s="28" t="inlineStr">
        <is>
          <t>Move (61 to 90)</t>
        </is>
      </c>
      <c r="B19" s="21" t="n">
        <v>80</v>
      </c>
      <c r="C19" s="22" t="inlineStr">
        <is>
          <t>Run the Manager Readiness Review before anyone says the triumphant sentence</t>
        </is>
      </c>
      <c r="D19" s="21" t="inlineStr">
        <is>
          <t>9</t>
        </is>
      </c>
      <c r="E19" s="22" t="inlineStr">
        <is>
          <t>Manager Readiness Review</t>
        </is>
      </c>
      <c r="F19" s="22" t="inlineStr">
        <is>
          <t>Every manager the rollout reaches sorted: ready, ready with support, not yet</t>
        </is>
      </c>
      <c r="G19" s="23" t="inlineStr"/>
      <c r="H19" s="24">
        <f>IF($H$4="","",$H$4+B19-1)</f>
        <v/>
      </c>
      <c r="I19" s="25" t="inlineStr">
        <is>
          <t>Not started</t>
        </is>
      </c>
      <c r="J19" s="26">
        <f>IF(I19="Done","Done",IF(I19="Blocked","Blocked",IF(AND(H19&lt;&gt;"",H19&lt;TODAY()),"Overdue",IF(AND(H19&lt;&gt;"",H19-TODAY()&lt;=7),"Due this week",""))))</f>
        <v/>
      </c>
      <c r="K19" s="23" t="inlineStr"/>
    </row>
    <row r="20">
      <c r="A20" s="28" t="inlineStr">
        <is>
          <t>Move (61 to 90)</t>
        </is>
      </c>
      <c r="B20" s="21" t="n">
        <v>80</v>
      </c>
      <c r="C20" s="22" t="inlineStr">
        <is>
          <t>Install the mixed-team rhythm with the manager already living it</t>
        </is>
      </c>
      <c r="D20" s="21" t="inlineStr">
        <is>
          <t>10</t>
        </is>
      </c>
      <c r="E20" s="22" t="inlineStr">
        <is>
          <t>Mixed-Team Operating Rhythm</t>
        </is>
      </c>
      <c r="F20" s="22" t="inlineStr">
        <is>
          <t>Agent performance inside the team’s normal rhythm</t>
        </is>
      </c>
      <c r="G20" s="23" t="inlineStr"/>
      <c r="H20" s="24">
        <f>IF($H$4="","",$H$4+B20-1)</f>
        <v/>
      </c>
      <c r="I20" s="25" t="inlineStr">
        <is>
          <t>Not started</t>
        </is>
      </c>
      <c r="J20" s="26">
        <f>IF(I20="Done","Done",IF(I20="Blocked","Blocked",IF(AND(H20&lt;&gt;"",H20&lt;TODAY()),"Overdue",IF(AND(H20&lt;&gt;"",H20-TODAY()&lt;=7),"Due this week",""))))</f>
        <v/>
      </c>
      <c r="K20" s="23" t="inlineStr"/>
    </row>
    <row r="21">
      <c r="A21" s="28" t="inlineStr">
        <is>
          <t>Move (61 to 90)</t>
        </is>
      </c>
      <c r="B21" s="21" t="n">
        <v>61</v>
      </c>
      <c r="C21" s="22" t="inlineStr">
        <is>
          <t>Convert your own staff meeting to the GROWTH agenda and let it run a month before you name it</t>
        </is>
      </c>
      <c r="D21" s="21" t="inlineStr">
        <is>
          <t>11</t>
        </is>
      </c>
      <c r="E21" s="22" t="inlineStr">
        <is>
          <t>GROWTH Conversation Guide</t>
        </is>
      </c>
      <c r="F21" s="22" t="inlineStr">
        <is>
          <t>Decisions leaving with owners and dates; Tracking opening the next meeting</t>
        </is>
      </c>
      <c r="G21" s="23" t="inlineStr"/>
      <c r="H21" s="24">
        <f>IF($H$4="","",$H$4+B21-1)</f>
        <v/>
      </c>
      <c r="I21" s="25" t="inlineStr">
        <is>
          <t>Not started</t>
        </is>
      </c>
      <c r="J21" s="26">
        <f>IF(I21="Done","Done",IF(I21="Blocked","Blocked",IF(AND(H21&lt;&gt;"",H21&lt;TODAY()),"Overdue",IF(AND(H21&lt;&gt;"",H21-TODAY()&lt;=7),"Due this week",""))))</f>
        <v/>
      </c>
      <c r="K21" s="23" t="inlineStr"/>
    </row>
    <row r="22">
      <c r="A22" s="28" t="inlineStr">
        <is>
          <t>Move (61 to 90)</t>
        </is>
      </c>
      <c r="B22" s="21" t="n">
        <v>88</v>
      </c>
      <c r="C22" s="22" t="inlineStr">
        <is>
          <t>Rerun the pulse and put the movement, or the lack of it, next to the efficiency numbers</t>
        </is>
      </c>
      <c r="D22" s="21" t="inlineStr">
        <is>
          <t>12</t>
        </is>
      </c>
      <c r="E22" s="22" t="inlineStr">
        <is>
          <t>AI-Era Listening Set</t>
        </is>
      </c>
      <c r="F22" s="22" t="inlineStr">
        <is>
          <t>The four signals, before and after, beside hours saved</t>
        </is>
      </c>
      <c r="G22" s="23" t="inlineStr"/>
      <c r="H22" s="24">
        <f>IF($H$4="","",$H$4+B22-1)</f>
        <v/>
      </c>
      <c r="I22" s="25" t="inlineStr">
        <is>
          <t>Not started</t>
        </is>
      </c>
      <c r="J22" s="26">
        <f>IF(I22="Done","Done",IF(I22="Blocked","Blocked",IF(AND(H22&lt;&gt;"",H22&lt;TODAY()),"Overdue",IF(AND(H22&lt;&gt;"",H22-TODAY()&lt;=7),"Due this week",""))))</f>
        <v/>
      </c>
      <c r="K22" s="23" t="inlineStr"/>
    </row>
    <row r="23">
      <c r="A23" s="28" t="inlineStr">
        <is>
          <t>Move (61 to 90)</t>
        </is>
      </c>
      <c r="B23" s="21" t="n">
        <v>90</v>
      </c>
      <c r="C23" s="22" t="inlineStr">
        <is>
          <t>Report out to the executive team: this works, here is the data, here is what scales next</t>
        </is>
      </c>
      <c r="D23" s="21" t="inlineStr">
        <is>
          <t>14</t>
        </is>
      </c>
      <c r="E23" s="22" t="inlineStr">
        <is>
          <t>Day 90 Page (this workbook)</t>
        </is>
      </c>
      <c r="F23" s="22" t="inlineStr">
        <is>
          <t>The standing to say what scales next, with evidence attached</t>
        </is>
      </c>
      <c r="G23" s="23" t="inlineStr"/>
      <c r="H23" s="24">
        <f>IF($H$4="","",$H$4+B23-1)</f>
        <v/>
      </c>
      <c r="I23" s="25" t="inlineStr">
        <is>
          <t>Not started</t>
        </is>
      </c>
      <c r="J23" s="26">
        <f>IF(I23="Done","Done",IF(I23="Blocked","Blocked",IF(AND(H23&lt;&gt;"",H23&lt;TODAY()),"Overdue",IF(AND(H23&lt;&gt;"",H23-TODAY()&lt;=7),"Due this week",""))))</f>
        <v/>
      </c>
      <c r="K23" s="23" t="inlineStr"/>
    </row>
    <row r="25">
      <c r="A25" s="29" t="inlineStr">
        <is>
          <t>PROGRESS</t>
        </is>
      </c>
      <c r="B25" s="30" t="n"/>
      <c r="C25" s="30" t="n"/>
      <c r="D25" s="30" t="n"/>
      <c r="E25" s="30" t="n"/>
    </row>
    <row r="26">
      <c r="A26" s="31" t="inlineStr">
        <is>
          <t>Days 1 to 30: See</t>
        </is>
      </c>
      <c r="D26" s="32">
        <f>COUNTIFS($A$7:$A$23,"See*",$I$7:$I$23,"Done")&amp;" of "&amp;COUNTIF($A$7:$A$23,"See*")</f>
        <v/>
      </c>
      <c r="E26" s="33">
        <f>IF(COUNTIF($A$7:$A$23,"See*")=0,0,COUNTIFS($A$7:$A$23,"See*",$I$7:$I$23,"Done")/COUNTIF($A$7:$A$23,"See*"))</f>
        <v/>
      </c>
    </row>
    <row r="27">
      <c r="A27" s="31" t="inlineStr">
        <is>
          <t>Days 31 to 60: Govern</t>
        </is>
      </c>
      <c r="D27" s="32">
        <f>COUNTIFS($A$7:$A$23,"Govern*",$I$7:$I$23,"Done")&amp;" of "&amp;COUNTIF($A$7:$A$23,"Govern*")</f>
        <v/>
      </c>
      <c r="E27" s="33">
        <f>IF(COUNTIF($A$7:$A$23,"Govern*")=0,0,COUNTIFS($A$7:$A$23,"Govern*",$I$7:$I$23,"Done")/COUNTIF($A$7:$A$23,"Govern*"))</f>
        <v/>
      </c>
    </row>
    <row r="28">
      <c r="A28" s="31" t="inlineStr">
        <is>
          <t>Days 61 to 90: Move</t>
        </is>
      </c>
      <c r="D28" s="32">
        <f>COUNTIFS($A$7:$A$23,"Move*",$I$7:$I$23,"Done")&amp;" of "&amp;COUNTIF($A$7:$A$23,"Move*")</f>
        <v/>
      </c>
      <c r="E28" s="33">
        <f>IF(COUNTIF($A$7:$A$23,"Move*")=0,0,COUNTIFS($A$7:$A$23,"Move*",$I$7:$I$23,"Done")/COUNTIF($A$7:$A$23,"Move*"))</f>
        <v/>
      </c>
    </row>
    <row r="29">
      <c r="A29" s="31" t="inlineStr">
        <is>
          <t>All ninety days</t>
        </is>
      </c>
      <c r="D29" s="32">
        <f>COUNTIF($I$7:$I$23,"Done")&amp;" of "&amp;COUNTA($C$7:$C$23)</f>
        <v/>
      </c>
      <c r="E29" s="33">
        <f>COUNTIF($I$7:$I$23,"Done")/COUNTA($C$7:$C$23)</f>
        <v/>
      </c>
    </row>
    <row r="30">
      <c r="A30" s="34">
        <f>"Overdue: "&amp;COUNTIF($J$7:$J$23,"Overdue")&amp;"   Blocked: "&amp;COUNTIF($J$7:$J$23,"Blocked")</f>
        <v/>
      </c>
    </row>
  </sheetData>
  <mergeCells count="8">
    <mergeCell ref="A28:C28"/>
    <mergeCell ref="E4:F4"/>
    <mergeCell ref="A3:K3"/>
    <mergeCell ref="A2:K2"/>
    <mergeCell ref="A27:C27"/>
    <mergeCell ref="A29:C29"/>
    <mergeCell ref="A26:C26"/>
    <mergeCell ref="B4:C4"/>
  </mergeCells>
  <conditionalFormatting sqref="J7:J23">
    <cfRule type="expression" priority="1" dxfId="0">
      <formula>J7="Done"</formula>
    </cfRule>
    <cfRule type="expression" priority="2" dxfId="1">
      <formula>J7="Due this week"</formula>
    </cfRule>
    <cfRule type="expression" priority="3" dxfId="2">
      <formula>J7="Overdue"</formula>
    </cfRule>
    <cfRule type="expression" priority="4" dxfId="2">
      <formula>J7="Blocked"</formula>
    </cfRule>
  </conditionalFormatting>
  <conditionalFormatting sqref="I7:I23">
    <cfRule type="expression" priority="5" dxfId="3">
      <formula>I7="Done"</formula>
    </cfRule>
  </conditionalFormatting>
  <dataValidations count="1">
    <dataValidation sqref="I7:I23" showDropDown="0" showInputMessage="0" showErrorMessage="0" allowBlank="1" type="list">
      <formula1>"Not started,In progress,Done,Blocked"</formula1>
    </dataValidation>
  </dataValidations>
  <pageMargins left="0.75" right="0.75" top="1" bottom="1" header="0.5" footer="0.5"/>
  <pageSetup orientation="landscape" fitToHeight="0" fitToWidth="1"/>
  <headerFooter>
    <oddHeader/>
    <oddFooter>&amp;LOnTheGrow Leadership | 30/60/90 Enablement Roadmap&amp;RPage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E37"/>
  <sheetViews>
    <sheetView showGridLines="0" workbookViewId="0">
      <selection activeCell="A1" sqref="A1"/>
    </sheetView>
  </sheetViews>
  <sheetFormatPr baseColWidth="8" defaultRowHeight="15"/>
  <cols>
    <col width="3" customWidth="1" min="1" max="1"/>
    <col width="40" customWidth="1" min="2" max="2"/>
    <col width="24" customWidth="1" min="3" max="3"/>
    <col width="24" customWidth="1" min="4" max="4"/>
    <col width="30" customWidth="1" min="5" max="5"/>
  </cols>
  <sheetData>
    <row r="1">
      <c r="B1" s="9" t="inlineStr">
        <is>
          <t>Day 90: This Works. Here’s the Data. Here’s What Scales Next.</t>
        </is>
      </c>
    </row>
    <row r="2" ht="28" customHeight="1">
      <c r="B2" s="10" t="inlineStr">
        <is>
          <t>HOW TO USE THIS TAB: Fill the yellow cells from the instruments you ran. Process and dates pull from the Roadmap. This is the one page for your executive team.</t>
        </is>
      </c>
    </row>
    <row r="3">
      <c r="B3" s="11" t="inlineStr">
        <is>
          <t>© 2026 Elizabeth A. Corey. All rights reserved. GROWTH Execution Model™. onthegrow.ai</t>
        </is>
      </c>
    </row>
    <row r="5">
      <c r="B5" s="18" t="inlineStr">
        <is>
          <t>THE PROGRAM</t>
        </is>
      </c>
      <c r="C5" s="35" t="n"/>
      <c r="D5" s="35" t="n"/>
      <c r="E5" s="14" t="n"/>
    </row>
    <row r="6">
      <c r="B6" s="36" t="inlineStr">
        <is>
          <t>Process</t>
        </is>
      </c>
      <c r="C6" s="37">
        <f>Roadmap!B4</f>
        <v/>
      </c>
      <c r="D6" s="35" t="n"/>
      <c r="E6" s="14" t="n"/>
    </row>
    <row r="7">
      <c r="B7" s="36" t="inlineStr">
        <is>
          <t>Function</t>
        </is>
      </c>
      <c r="C7" s="37">
        <f>Roadmap!E4</f>
        <v/>
      </c>
      <c r="D7" s="35" t="n"/>
      <c r="E7" s="14" t="n"/>
    </row>
    <row r="8">
      <c r="B8" s="36" t="inlineStr">
        <is>
          <t>Ran from</t>
        </is>
      </c>
      <c r="C8" s="37">
        <f>IF(Roadmap!H4="","",TEXT(Roadmap!H4,"mmmm d, yyyy")&amp;" to "&amp;TEXT(Roadmap!H4+89,"mmmm d, yyyy"))</f>
        <v/>
      </c>
      <c r="D8" s="35" t="n"/>
      <c r="E8" s="14" t="n"/>
    </row>
    <row r="9">
      <c r="B9" s="36" t="inlineStr">
        <is>
          <t>Moves completed</t>
        </is>
      </c>
      <c r="C9" s="37">
        <f>COUNTIF(Roadmap!I7:I23,"Done")&amp;" of 17"</f>
        <v/>
      </c>
      <c r="D9" s="35" t="n"/>
      <c r="E9" s="14" t="n"/>
    </row>
    <row r="11">
      <c r="B11" s="18" t="inlineStr">
        <is>
          <t>THE EVIDENCE</t>
        </is>
      </c>
      <c r="C11" s="18" t="inlineStr">
        <is>
          <t>Result</t>
        </is>
      </c>
      <c r="D11" s="14" t="n"/>
      <c r="E11" s="18" t="inlineStr">
        <is>
          <t>Source</t>
        </is>
      </c>
    </row>
    <row r="12" ht="30" customHeight="1">
      <c r="B12" s="36" t="inlineStr">
        <is>
          <t>Steps eliminated from the process (not accelerated: gone)</t>
        </is>
      </c>
      <c r="C12" s="13" t="n"/>
      <c r="D12" s="14" t="n"/>
      <c r="E12" s="38" t="inlineStr">
        <is>
          <t>Run Sheet, the elimination test</t>
        </is>
      </c>
    </row>
    <row r="13" ht="30" customHeight="1">
      <c r="B13" s="36" t="inlineStr">
        <is>
          <t>Enablement diagnostic: yeses out of five</t>
        </is>
      </c>
      <c r="C13" s="13" t="n"/>
      <c r="D13" s="14" t="n"/>
      <c r="E13" s="38" t="inlineStr">
        <is>
          <t>Run Sheet, page 2</t>
        </is>
      </c>
    </row>
    <row r="14" ht="30" customHeight="1">
      <c r="B14" s="36" t="inlineStr">
        <is>
          <t>Tasks that changed destination, with decision rights updated</t>
        </is>
      </c>
      <c r="C14" s="13" t="n"/>
      <c r="D14" s="14" t="n"/>
      <c r="E14" s="38" t="inlineStr">
        <is>
          <t>Work Assignment Matrix</t>
        </is>
      </c>
    </row>
    <row r="15" ht="30" customHeight="1">
      <c r="B15" s="36" t="inlineStr">
        <is>
          <t>Hours per month freed, and where they were reinvested</t>
        </is>
      </c>
      <c r="C15" s="13" t="n"/>
      <c r="D15" s="14" t="n"/>
      <c r="E15" s="38" t="inlineStr">
        <is>
          <t>Work Taxonomy, Summary</t>
        </is>
      </c>
    </row>
    <row r="16" ht="30" customHeight="1">
      <c r="B16" s="36" t="inlineStr">
        <is>
          <t>Rules that touch money now carrying five names</t>
        </is>
      </c>
      <c r="C16" s="13" t="n"/>
      <c r="D16" s="14" t="n"/>
      <c r="E16" s="38" t="inlineStr">
        <is>
          <t>Decision Rights Matrix</t>
        </is>
      </c>
    </row>
    <row r="17" ht="30" customHeight="1">
      <c r="B17" s="36" t="inlineStr">
        <is>
          <t>Agents in production with a job description and a named owner</t>
        </is>
      </c>
      <c r="C17" s="13" t="n"/>
      <c r="D17" s="14" t="n"/>
      <c r="E17" s="38" t="inlineStr">
        <is>
          <t>Agent Job Description, inventory</t>
        </is>
      </c>
    </row>
    <row r="18" ht="30" customHeight="1">
      <c r="B18" s="36" t="inlineStr">
        <is>
          <t>Most-asked questions ready to ground (of 20)</t>
        </is>
      </c>
      <c r="C18" s="13" t="n"/>
      <c r="D18" s="14" t="n"/>
      <c r="E18" s="38" t="inlineStr">
        <is>
          <t>Knowledge Readiness Test</t>
        </is>
      </c>
    </row>
    <row r="19" ht="30" customHeight="1">
      <c r="B19" s="36" t="inlineStr">
        <is>
          <t>Managers reviewed: ready / with support / not yet</t>
        </is>
      </c>
      <c r="C19" s="13" t="n"/>
      <c r="D19" s="14" t="n"/>
      <c r="E19" s="38" t="inlineStr">
        <is>
          <t>Manager Readiness Review</t>
        </is>
      </c>
    </row>
    <row r="20" ht="30" customHeight="1">
      <c r="B20" s="36" t="inlineStr">
        <is>
          <t>Pulse movement: trust, role clarity, reinvestment, fear (baseline to day 90)</t>
        </is>
      </c>
      <c r="C20" s="13" t="n"/>
      <c r="D20" s="14" t="n"/>
      <c r="E20" s="38" t="inlineStr">
        <is>
          <t>AI-Era Listening Set</t>
        </is>
      </c>
    </row>
    <row r="21" ht="30" customHeight="1">
      <c r="B21" s="36" t="inlineStr">
        <is>
          <t>Efficiency numbers the pulse sits beside (hours, cost, cycle time, errors)</t>
        </is>
      </c>
      <c r="C21" s="13" t="n"/>
      <c r="D21" s="14" t="n"/>
      <c r="E21" s="38" t="inlineStr">
        <is>
          <t>Your operating metrics</t>
        </is>
      </c>
    </row>
    <row r="23">
      <c r="B23" s="18" t="inlineStr">
        <is>
          <t>WHAT OUTLIVES YOUR ATTENTION</t>
        </is>
      </c>
      <c r="C23" s="35" t="n"/>
      <c r="D23" s="35" t="n"/>
      <c r="E23" s="14" t="n"/>
    </row>
    <row r="24">
      <c r="B24" s="36" t="inlineStr">
        <is>
          <t>Enablement council: sponsor, four seats, first meeting held</t>
        </is>
      </c>
      <c r="C24" s="13" t="n"/>
      <c r="D24" s="35" t="n"/>
      <c r="E24" s="14" t="n"/>
    </row>
    <row r="25">
      <c r="B25" s="36" t="inlineStr">
        <is>
          <t>Staff meeting running on the GROWTH agenda since</t>
        </is>
      </c>
      <c r="C25" s="13" t="n"/>
      <c r="D25" s="35" t="n"/>
      <c r="E25" s="14" t="n"/>
    </row>
    <row r="26">
      <c r="B26" s="36" t="inlineStr">
        <is>
          <t>Mixed-team rhythm installed with (manager and team)</t>
        </is>
      </c>
      <c r="C26" s="13" t="n"/>
      <c r="D26" s="35" t="n"/>
      <c r="E26" s="14" t="n"/>
    </row>
    <row r="27">
      <c r="B27" s="36" t="inlineStr">
        <is>
          <t>The CEO’s three-part message delivered on</t>
        </is>
      </c>
      <c r="C27" s="13" t="n"/>
      <c r="D27" s="35" t="n"/>
      <c r="E27" s="14" t="n"/>
    </row>
    <row r="29">
      <c r="B29" s="18" t="inlineStr">
        <is>
          <t>WHAT SCALES NEXT</t>
        </is>
      </c>
      <c r="C29" s="35" t="n"/>
      <c r="D29" s="35" t="n"/>
      <c r="E29" s="14" t="n"/>
    </row>
    <row r="30" ht="36" customHeight="1">
      <c r="B30" s="36" t="inlineStr">
        <is>
          <t>The next process, and why it is next</t>
        </is>
      </c>
      <c r="C30" s="13" t="n"/>
      <c r="D30" s="35" t="n"/>
      <c r="E30" s="14" t="n"/>
    </row>
    <row r="31" ht="36" customHeight="1">
      <c r="B31" s="36" t="inlineStr">
        <is>
          <t>The managers who scale now, and who scales with support</t>
        </is>
      </c>
      <c r="C31" s="13" t="n"/>
      <c r="D31" s="35" t="n"/>
      <c r="E31" s="14" t="n"/>
    </row>
    <row r="32" ht="36" customHeight="1">
      <c r="B32" s="36" t="inlineStr">
        <is>
          <t>What stays at pilot scope until the gap closes</t>
        </is>
      </c>
      <c r="C32" s="13" t="n"/>
      <c r="D32" s="35" t="n"/>
      <c r="E32" s="14" t="n"/>
    </row>
    <row r="34" ht="30" customHeight="1">
      <c r="B34" s="39" t="inlineStr">
        <is>
          <t>Say it to your executive team in that order: this works, here is the data, here is what scales next. Then measure the next ninety days as if you mean to publish them.</t>
        </is>
      </c>
    </row>
    <row r="37">
      <c r="B37" s="11" t="inlineStr">
        <is>
          <t>© 2026 Elizabeth A. Corey. All rights reserved. GROWTH Execution Model™. onthegrow.ai</t>
        </is>
      </c>
    </row>
  </sheetData>
  <mergeCells count="28">
    <mergeCell ref="C15:D15"/>
    <mergeCell ref="C31:E31"/>
    <mergeCell ref="C9:E9"/>
    <mergeCell ref="C14:D14"/>
    <mergeCell ref="B5:E5"/>
    <mergeCell ref="C20:D20"/>
    <mergeCell ref="C27:E27"/>
    <mergeCell ref="C16:D16"/>
    <mergeCell ref="C8:E8"/>
    <mergeCell ref="B3:E3"/>
    <mergeCell ref="C7:E7"/>
    <mergeCell ref="C32:E32"/>
    <mergeCell ref="C12:D12"/>
    <mergeCell ref="C21:D21"/>
    <mergeCell ref="C11:D11"/>
    <mergeCell ref="B2:E2"/>
    <mergeCell ref="C30:E30"/>
    <mergeCell ref="C17:D17"/>
    <mergeCell ref="C6:E6"/>
    <mergeCell ref="C24:E24"/>
    <mergeCell ref="B23:E23"/>
    <mergeCell ref="C19:D19"/>
    <mergeCell ref="B29:E29"/>
    <mergeCell ref="C26:E26"/>
    <mergeCell ref="C13:D13"/>
    <mergeCell ref="C18:D18"/>
    <mergeCell ref="C25:E25"/>
    <mergeCell ref="B34:E34"/>
  </mergeCells>
  <pageMargins left="0.75" right="0.75" top="1" bottom="1" header="0.5" footer="0.5"/>
  <pageSetup orientation="portrait" fitToHeight="0" fitToWidth="1"/>
  <headerFooter>
    <oddHeader/>
    <oddFooter>&amp;LOnTheGrow Leadership | 30/60/90 Enablement Roadmap&amp;RPage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 A. Corey</dc:creator>
  <dc:title xmlns:dc="http://purl.org/dc/elements/1.1/">30/60/90 Enablement Roadmap</dc:title>
  <dcterms:created xmlns:dcterms="http://purl.org/dc/terms/" xmlns:xsi="http://www.w3.org/2001/XMLSchema-instance" xsi:type="dcterms:W3CDTF">2026-10-21T17:49:35Z</dcterms:created>
  <dcterms:modified xmlns:dcterms="http://purl.org/dc/terms/" xmlns:xsi="http://www.w3.org/2001/XMLSchema-instance" xsi:type="dcterms:W3CDTF">2026-10-21T17:49:35Z</dcterms:modified>
</cp:coreProperties>
</file>