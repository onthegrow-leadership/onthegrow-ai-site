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w to Use" sheetId="1" state="visible" r:id="rId1"/>
    <sheet xmlns:r="http://schemas.openxmlformats.org/officeDocument/2006/relationships" name="Review" sheetId="2" state="visible" r:id="rId2"/>
    <sheet xmlns:r="http://schemas.openxmlformats.org/officeDocument/2006/relationships" name="Rollout Decision" sheetId="3" state="visible" r:id="rId3"/>
  </sheets>
  <definedNames>
    <definedName name="_xlnm.Print_Titles" localSheetId="1">'Review'!$4:$4</definedName>
  </definedNames>
  <calcPr calcId="124519" fullCalcOnLoad="1"/>
</workbook>
</file>

<file path=xl/styles.xml><?xml version="1.0" encoding="utf-8"?>
<styleSheet xmlns="http://schemas.openxmlformats.org/spreadsheetml/2006/main">
  <numFmts count="1">
    <numFmt numFmtId="164" formatCode="mm/dd/yyyy"/>
  </numFmts>
  <fonts count="16">
    <font>
      <name val="Calibri"/>
      <family val="2"/>
      <color theme="1"/>
      <sz val="11"/>
      <scheme val="minor"/>
    </font>
    <font>
      <name val="Arial"/>
      <b val="1"/>
      <color rgb="FF36294F"/>
      <sz val="20"/>
    </font>
    <font>
      <name val="Arial"/>
      <i val="1"/>
      <color rgb="FF39989E"/>
      <sz val="11"/>
    </font>
    <font>
      <name val="Arial"/>
      <color rgb="FF55505F"/>
      <sz val="8"/>
    </font>
    <font>
      <name val="Arial"/>
      <color rgb="FF26222E"/>
      <sz val="10"/>
    </font>
    <font>
      <name val="Arial"/>
      <b val="1"/>
      <color rgb="FFFFFFFF"/>
      <sz val="12"/>
    </font>
    <font>
      <name val="Arial"/>
      <b val="1"/>
      <color rgb="FF36294F"/>
      <sz val="10"/>
    </font>
    <font>
      <name val="Arial"/>
      <b val="1"/>
      <color rgb="FF36294F"/>
      <sz val="16"/>
    </font>
    <font>
      <name val="Arial"/>
      <i val="1"/>
      <color rgb="FF55505F"/>
      <sz val="9"/>
    </font>
    <font>
      <name val="Arial"/>
      <b val="1"/>
      <color rgb="FFFFFFFF"/>
      <sz val="9"/>
    </font>
    <font>
      <name val="Arial"/>
      <color rgb="FF26222E"/>
      <sz val="9"/>
    </font>
    <font>
      <name val="Arial"/>
      <b val="1"/>
      <color rgb="FF26222E"/>
      <sz val="9"/>
    </font>
    <font>
      <name val="Arial"/>
      <b val="1"/>
      <color rgb="FF26222E"/>
      <sz val="10"/>
    </font>
    <font>
      <name val="Arial"/>
      <b val="1"/>
      <color rgb="FFB42318"/>
      <sz val="10"/>
    </font>
    <font>
      <name val="Arial"/>
      <b val="1"/>
      <color rgb="FF2B7A7F"/>
      <sz val="10"/>
    </font>
    <font>
      <name val="Arial"/>
      <i val="1"/>
      <color rgb="FF36294F"/>
      <sz val="9"/>
    </font>
  </fonts>
  <fills count="5">
    <fill>
      <patternFill/>
    </fill>
    <fill>
      <patternFill patternType="gray125"/>
    </fill>
    <fill>
      <patternFill patternType="solid">
        <fgColor rgb="FF36294F"/>
      </patternFill>
    </fill>
    <fill>
      <patternFill patternType="solid">
        <fgColor rgb="FF39989E"/>
      </patternFill>
    </fill>
    <fill>
      <patternFill patternType="solid">
        <fgColor rgb="FFFFF2CC"/>
      </patternFill>
    </fill>
  </fills>
  <borders count="2">
    <border>
      <left/>
      <right/>
      <top/>
      <bottom/>
      <diagonal/>
    </border>
    <border>
      <left style="thin">
        <color rgb="FFD9D5E2"/>
      </left>
      <right style="thin">
        <color rgb="FFD9D5E2"/>
      </right>
      <top style="thin">
        <color rgb="FFD9D5E2"/>
      </top>
      <bottom style="thin">
        <color rgb="FFD9D5E2"/>
      </bottom>
    </border>
  </borders>
  <cellStyleXfs count="1">
    <xf numFmtId="0" fontId="0" fillId="0" borderId="0"/>
  </cellStyleXfs>
  <cellXfs count="29">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5" fillId="2" borderId="0" applyAlignment="1" pivotButton="0" quotePrefix="0" xfId="0">
      <alignment vertical="top" wrapText="1"/>
    </xf>
    <xf numFmtId="0" fontId="0" fillId="2" borderId="0" applyAlignment="1" pivotButton="0" quotePrefix="0" xfId="0">
      <alignment vertical="top" wrapText="1"/>
    </xf>
    <xf numFmtId="0" fontId="6" fillId="0" borderId="0" applyAlignment="1" pivotButton="0" quotePrefix="0" xfId="0">
      <alignment vertical="top" wrapText="1"/>
    </xf>
    <xf numFmtId="0" fontId="7" fillId="0" borderId="0" pivotButton="0" quotePrefix="0" xfId="0"/>
    <xf numFmtId="0" fontId="8" fillId="0" borderId="0" pivotButton="0" quotePrefix="0" xfId="0"/>
    <xf numFmtId="0" fontId="3" fillId="0" borderId="0" pivotButton="0" quotePrefix="0" xfId="0"/>
    <xf numFmtId="0" fontId="9" fillId="2" borderId="1" applyAlignment="1" pivotButton="0" quotePrefix="0" xfId="0">
      <alignment horizontal="center" vertical="center" wrapText="1"/>
    </xf>
    <xf numFmtId="0" fontId="9" fillId="3" borderId="1" applyAlignment="1" pivotButton="0" quotePrefix="0" xfId="0">
      <alignment horizontal="center" vertical="center" wrapText="1"/>
    </xf>
    <xf numFmtId="0" fontId="10" fillId="4" borderId="1" applyAlignment="1" pivotButton="0" quotePrefix="0" xfId="0">
      <alignment vertical="top" wrapText="1"/>
    </xf>
    <xf numFmtId="0" fontId="10" fillId="4" borderId="1" applyAlignment="1" pivotButton="0" quotePrefix="0" xfId="0">
      <alignment horizontal="center" vertical="top" wrapText="1"/>
    </xf>
    <xf numFmtId="0" fontId="11" fillId="0" borderId="1" applyAlignment="1" pivotButton="0" quotePrefix="0" xfId="0">
      <alignment horizontal="center" vertical="top" wrapText="1"/>
    </xf>
    <xf numFmtId="0" fontId="11" fillId="0" borderId="1" applyAlignment="1" pivotButton="0" quotePrefix="0" xfId="0">
      <alignment vertical="top" wrapText="1"/>
    </xf>
    <xf numFmtId="164" fontId="10" fillId="4" borderId="1" applyAlignment="1" pivotButton="0" quotePrefix="0" xfId="0">
      <alignment vertical="top" wrapText="1"/>
    </xf>
    <xf numFmtId="0" fontId="4" fillId="0" borderId="1" applyAlignment="1" pivotButton="0" quotePrefix="0" xfId="0">
      <alignment vertical="center" wrapText="1"/>
    </xf>
    <xf numFmtId="1" fontId="12" fillId="4" borderId="1" applyAlignment="1" pivotButton="0" quotePrefix="0" xfId="0">
      <alignment horizontal="center" vertical="center" wrapText="1"/>
    </xf>
    <xf numFmtId="0" fontId="13" fillId="0" borderId="0" applyAlignment="1" pivotButton="0" quotePrefix="0" xfId="0">
      <alignment vertical="top" wrapText="1"/>
    </xf>
    <xf numFmtId="1" fontId="12" fillId="0" borderId="1" applyAlignment="1" pivotButton="0" quotePrefix="0" xfId="0">
      <alignment horizontal="center" vertical="center" wrapText="1"/>
    </xf>
    <xf numFmtId="3" fontId="12" fillId="0" borderId="1" applyAlignment="1" pivotButton="0" quotePrefix="0" xfId="0">
      <alignment horizontal="center" vertical="center" wrapText="1"/>
    </xf>
    <xf numFmtId="0" fontId="12" fillId="0" borderId="1" applyAlignment="1" pivotButton="0" quotePrefix="0" xfId="0">
      <alignment horizontal="center" vertical="center" wrapText="1"/>
    </xf>
    <xf numFmtId="9" fontId="4" fillId="0" borderId="1" applyAlignment="1" pivotButton="0" quotePrefix="0" xfId="0">
      <alignment horizontal="center" vertical="center" wrapText="1"/>
    </xf>
    <xf numFmtId="0" fontId="14" fillId="0" borderId="0" pivotButton="0" quotePrefix="0" xfId="0"/>
    <xf numFmtId="0" fontId="4" fillId="0" borderId="1" applyAlignment="1" pivotButton="0" quotePrefix="0" xfId="0">
      <alignment vertical="top" wrapText="1"/>
    </xf>
    <xf numFmtId="0" fontId="15" fillId="0" borderId="0" pivotButton="0" quotePrefix="0" xfId="0"/>
  </cellXfs>
  <cellStyles count="1">
    <cellStyle name="Normal" xfId="0" builtinId="0" hidden="0"/>
  </cellStyles>
  <dxfs count="5">
    <dxf>
      <font>
        <b val="1"/>
        <color rgb="FFB42318"/>
      </font>
      <fill>
        <patternFill patternType="solid">
          <bgColor rgb="FFFDE8E8"/>
        </patternFill>
      </fill>
    </dxf>
    <dxf>
      <font>
        <b val="1"/>
        <color rgb="FF9A5B00"/>
      </font>
      <fill>
        <patternFill patternType="solid">
          <bgColor rgb="FFFFF4E5"/>
        </patternFill>
      </fill>
    </dxf>
    <dxf>
      <font>
        <b val="1"/>
        <color rgb="FF2B7A7F"/>
      </font>
      <fill>
        <patternFill patternType="solid">
          <bgColor rgb="FFEAF5F5"/>
        </patternFill>
      </fill>
    </dxf>
    <dxf>
      <font>
        <b val="1"/>
        <color rgb="FFB42318"/>
      </font>
    </dxf>
    <dxf>
      <font>
        <b val="1"/>
        <color rgb="FF2B7A7F"/>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B1:C41"/>
  <sheetViews>
    <sheetView showGridLines="0" workbookViewId="0">
      <selection activeCell="A1" sqref="A1"/>
    </sheetView>
  </sheetViews>
  <sheetFormatPr baseColWidth="8" defaultRowHeight="15"/>
  <cols>
    <col width="3" customWidth="1" min="1" max="1"/>
    <col width="32" customWidth="1" min="2" max="2"/>
    <col width="95" customWidth="1" min="3" max="3"/>
  </cols>
  <sheetData>
    <row r="1" ht="30" customHeight="1">
      <c r="B1" s="1" t="inlineStr">
        <is>
          <t>The Manager Readiness Review</t>
        </is>
      </c>
      <c r="C1" s="2" t="n"/>
    </row>
    <row r="2" ht="30" customHeight="1">
      <c r="B2" s="3" t="inlineStr">
        <is>
          <t>From AI Will Scale Good Leadership and Bad Leadership: The CHRO’s Method for Redesigning Work Before AI Scales What’s Broken, by Liz Corey  |  Toolbox No. 9  |  OnTheGrow Leadership</t>
        </is>
      </c>
      <c r="C2" s="2" t="n"/>
    </row>
    <row r="3">
      <c r="B3" s="4" t="inlineStr">
        <is>
          <t>© 2026 Elizabeth A. Corey. All rights reserved. GROWTH Execution Model™. onthegrow.ai</t>
        </is>
      </c>
      <c r="C3" s="2" t="n"/>
    </row>
    <row r="5" ht="45" customHeight="1">
      <c r="B5" s="5" t="inlineStr">
        <is>
          <t>Never scale what you haven’t reviewed. Never review what you’re not willing to repair. This is a talent review for the management layer, run before any pilot multiplies. It answers one question for every manager who will run this at scale: can this person hold it at volume?</t>
        </is>
      </c>
      <c r="C5" s="2" t="n"/>
    </row>
    <row r="7">
      <c r="B7" s="6" t="inlineStr">
        <is>
          <t>HOW THIS WORKBOOK IS SET UP</t>
        </is>
      </c>
      <c r="C7" s="7" t="n"/>
    </row>
    <row r="8">
      <c r="B8" s="8" t="inlineStr">
        <is>
          <t>Review</t>
        </is>
      </c>
      <c r="C8" s="5" t="inlineStr">
        <is>
          <t>One row per manager. Score six behaviors Yes, Sometimes, or No from the last ninety days, with the evidence written beside each. The workbook scores, sets the disposition, and names the next action.</t>
        </is>
      </c>
    </row>
    <row r="9">
      <c r="B9" s="8" t="inlineStr">
        <is>
          <t>Rollout Decision</t>
        </is>
      </c>
      <c r="C9" s="5" t="inlineStr">
        <is>
          <t>The one page for the rollout meeting: the two evidence gates, headcount by disposition, which behavior fails most, and the three lists.</t>
        </is>
      </c>
    </row>
    <row r="10">
      <c r="B10" s="8" t="inlineStr">
        <is>
          <t>Example rows</t>
        </is>
      </c>
      <c r="C10" s="5" t="inlineStr">
        <is>
          <t>Ten managers from a sample rollout are filled in so you can see a finished review. Replace them with your own.</t>
        </is>
      </c>
    </row>
    <row r="11">
      <c r="B11" s="8" t="inlineStr">
        <is>
          <t>Yellow cells</t>
        </is>
      </c>
      <c r="C11" s="5" t="inlineStr">
        <is>
          <t>Type in the yellow cells only. Every other cell is a formula.</t>
        </is>
      </c>
    </row>
    <row r="13">
      <c r="B13" s="6" t="inlineStr">
        <is>
          <t>THE SIX BEHAVIORS</t>
        </is>
      </c>
      <c r="C13" s="7" t="n"/>
    </row>
    <row r="14">
      <c r="B14" s="8" t="inlineStr">
        <is>
          <t>1. Sets written standards</t>
        </is>
      </c>
      <c r="C14" s="5" t="inlineStr">
        <is>
          <t>A written expectation of what good output looks like, for a person and for an agent. Not a feeling.</t>
        </is>
      </c>
    </row>
    <row r="15">
      <c r="B15" s="8" t="inlineStr">
        <is>
          <t>2. Catches confident errors</t>
        </is>
      </c>
      <c r="C15" s="5" t="inlineStr">
        <is>
          <t>Spots the error the system produced fluently, formatted, on time. The new skill, and the one most managers have never practiced.</t>
        </is>
      </c>
    </row>
    <row r="16">
      <c r="B16" s="8" t="inlineStr">
        <is>
          <t>3. Overrides and can say why</t>
        </is>
      </c>
      <c r="C16" s="5" t="inlineStr">
        <is>
          <t>The system recommends. The manager decides, and can explain why they overruled it, or why they did not.</t>
        </is>
      </c>
    </row>
    <row r="17">
      <c r="B17" s="8" t="inlineStr">
        <is>
          <t>4. Delivers feedback before it piles up</t>
        </is>
      </c>
      <c r="C17" s="5" t="inlineStr">
        <is>
          <t>Has the hard conversation early. At machine speed the pileup arrives in a week, not a quarter.</t>
        </is>
      </c>
    </row>
    <row r="18">
      <c r="B18" s="8" t="inlineStr">
        <is>
          <t>5. Runs a consistent conversation</t>
        </is>
      </c>
      <c r="C18" s="5" t="inlineStr">
        <is>
          <t>Runs the fortieth conversation the way they ran the first. Consistency takes a structure, not a memory.</t>
        </is>
      </c>
    </row>
    <row r="19">
      <c r="B19" s="8" t="inlineStr">
        <is>
          <t>6. Coaches and develops, people and agents both</t>
        </is>
      </c>
      <c r="C19" s="5" t="inlineStr">
        <is>
          <t>Tells a person, and an agent, what went wrong, what good looked like, and what changes next time.</t>
        </is>
      </c>
    </row>
    <row r="21">
      <c r="B21" s="6" t="inlineStr">
        <is>
          <t>HOW TO RUN IT</t>
        </is>
      </c>
      <c r="C21" s="7" t="n"/>
    </row>
    <row r="22">
      <c r="B22" s="8" t="inlineStr">
        <is>
          <t>1. Name the population</t>
        </is>
      </c>
      <c r="C22" s="5" t="inlineStr">
        <is>
          <t>Every manager whose team the rollout will reach and the pilot did not. Pilots run on volunteers. Rollouts run on everyone.</t>
        </is>
      </c>
    </row>
    <row r="23">
      <c r="B23" s="8" t="inlineStr">
        <is>
          <t>2. Score from evidence</t>
        </is>
      </c>
      <c r="C23" s="5" t="inlineStr">
        <is>
          <t>Six behaviors, each Yes, Sometimes, or No, from the last ninety days. Not reputation. Write the evidence in the cell beside the score. A blank evidence cell is a reputation score.</t>
        </is>
      </c>
    </row>
    <row r="24">
      <c r="B24" s="8" t="inlineStr">
        <is>
          <t>3. Bring two pieces of evidence</t>
        </is>
      </c>
      <c r="C24" s="5" t="inlineStr">
        <is>
          <t>Proof that the knowledge the rollout touches has passed the readiness test, and proof that every consequential rule it will run has a named owner. If either is missing, the best manager in the building cannot hold it.</t>
        </is>
      </c>
    </row>
    <row r="25">
      <c r="B25" s="8" t="inlineStr">
        <is>
          <t>4. Sort into three dispositions</t>
        </is>
      </c>
      <c r="C25" s="5" t="inlineStr">
        <is>
          <t>Ready: scale now, and scale loudly. Ready with support: scale with a named coach and a date. Not yet: keep the rollout at pilot scope for that team until the gap closes. Not yet does not mean cancel. It means contain.</t>
        </is>
      </c>
    </row>
    <row r="26">
      <c r="B26" s="8" t="inlineStr">
        <is>
          <t>5. Publish the decision with the evidence attached</t>
        </is>
      </c>
      <c r="C26" s="5" t="inlineStr">
        <is>
          <t>A rollout that cannot pass the review in writing was never ready. It was just enthusiastic.</t>
        </is>
      </c>
    </row>
    <row r="28">
      <c r="B28" s="6" t="inlineStr">
        <is>
          <t>HOW IT SCORES</t>
        </is>
      </c>
      <c r="C28" s="7" t="n"/>
    </row>
    <row r="29">
      <c r="B29" s="8" t="inlineStr">
        <is>
          <t>Behavior score</t>
        </is>
      </c>
      <c r="C29" s="5" t="inlineStr">
        <is>
          <t>Yes is 1, Sometimes is 0.5, No is 0, out of 6.</t>
        </is>
      </c>
    </row>
    <row r="30">
      <c r="B30" s="8" t="inlineStr">
        <is>
          <t>Ready</t>
        </is>
      </c>
      <c r="C30" s="5" t="inlineStr">
        <is>
          <t>5 or more, with no No answers.</t>
        </is>
      </c>
    </row>
    <row r="31">
      <c r="B31" s="8" t="inlineStr">
        <is>
          <t>Ready with support</t>
        </is>
      </c>
      <c r="C31" s="5" t="inlineStr">
        <is>
          <t>3.5 to 4.5, or exactly one No. Needs a named coach and a date.</t>
        </is>
      </c>
    </row>
    <row r="32">
      <c r="B32" s="8" t="inlineStr">
        <is>
          <t>Not yet</t>
        </is>
      </c>
      <c r="C32" s="5" t="inlineStr">
        <is>
          <t>Below 3.5, or two or more No answers. Hold at pilot scope until the gap closes.</t>
        </is>
      </c>
    </row>
    <row r="33">
      <c r="B33" s="8" t="inlineStr">
        <is>
          <t>Override</t>
        </is>
      </c>
      <c r="C33" s="5" t="inlineStr">
        <is>
          <t>The score is a starting point. The reviewer can set the disposition by hand in the Disposition override column, and the workbook will use it. Write why in the notes.</t>
        </is>
      </c>
    </row>
    <row r="35">
      <c r="B35" s="6" t="inlineStr">
        <is>
          <t>THE CHRO’S MOVE</t>
        </is>
      </c>
      <c r="C35" s="7" t="n"/>
    </row>
    <row r="36">
      <c r="B36" s="8" t="inlineStr">
        <is>
          <t>Get there first</t>
        </is>
      </c>
      <c r="C36" s="5" t="inlineStr">
        <is>
          <t>The process you redesigned is about to generate its rollout conversation. Run this review yourself, manager by manager, before anyone says the triumphant sentence. Then bring the Rollout Decision page to the meeting and put it next to the enthusiasm. You will have changed the question in the room from how fast can we roll this out to who is ready to run it.</t>
        </is>
      </c>
    </row>
    <row r="38">
      <c r="B38" s="6" t="inlineStr">
        <is>
          <t>WANT IT DONE FASTER?</t>
        </is>
      </c>
      <c r="C38" s="7" t="n"/>
    </row>
    <row r="39">
      <c r="B39" s="8" t="inlineStr">
        <is>
          <t>AI Management Simulation</t>
        </is>
      </c>
      <c r="C39" s="5" t="inlineStr">
        <is>
          <t>Twelve managers work the same scenarios with their own AI tools, scored against the six behaviors and the GROWTH standard. The review fills itself in from what they actually did. Early access. Call for pricing. Book a conversation at onthegrow.ai</t>
        </is>
      </c>
    </row>
    <row r="41">
      <c r="B41" s="4" t="inlineStr">
        <is>
          <t>© 2026 Elizabeth A. Corey. All rights reserved. GROWTH Execution Model™. onthegrow.ai</t>
        </is>
      </c>
      <c r="C41" s="2" t="n"/>
    </row>
  </sheetData>
  <mergeCells count="11">
    <mergeCell ref="B13:C13"/>
    <mergeCell ref="B21:C21"/>
    <mergeCell ref="B2:C2"/>
    <mergeCell ref="B38:C38"/>
    <mergeCell ref="B7:C7"/>
    <mergeCell ref="B3:C3"/>
    <mergeCell ref="B5:C5"/>
    <mergeCell ref="B28:C28"/>
    <mergeCell ref="B41:C41"/>
    <mergeCell ref="B1:C1"/>
    <mergeCell ref="B35:C35"/>
  </mergeCells>
  <pageMargins left="0.75" right="0.75" top="1" bottom="1" header="0.5" footer="0.5"/>
  <pageSetup orientation="landscape" fitToHeight="0" fitToWidth="1"/>
  <headerFooter>
    <oddHeader/>
    <oddFooter>&amp;LOnTheGrow Leadership | Manager Readiness Review&amp;RPage &amp;P of &amp;N</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Y44"/>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22" customWidth="1" min="1" max="1"/>
    <col width="20" customWidth="1" min="2" max="2"/>
    <col width="9" customWidth="1" min="3" max="3"/>
    <col width="11" customWidth="1" min="4" max="4"/>
    <col width="28" customWidth="1" min="5" max="5"/>
    <col width="11" customWidth="1" min="6" max="6"/>
    <col width="28" customWidth="1" min="7" max="7"/>
    <col width="11" customWidth="1" min="8" max="8"/>
    <col width="28" customWidth="1" min="9" max="9"/>
    <col width="11" customWidth="1" min="10" max="10"/>
    <col width="28" customWidth="1" min="11" max="11"/>
    <col width="11" customWidth="1" min="12" max="12"/>
    <col width="28" customWidth="1" min="13" max="13"/>
    <col width="11" customWidth="1" min="14" max="14"/>
    <col width="28" customWidth="1" min="15" max="15"/>
    <col width="9" customWidth="1" min="16" max="16"/>
    <col width="7" customWidth="1" min="17" max="17"/>
    <col width="8" customWidth="1" min="18" max="18"/>
    <col width="14" customWidth="1" min="19" max="19"/>
    <col width="14" customWidth="1" min="20" max="20"/>
    <col width="14" customWidth="1" min="21" max="21"/>
    <col width="16" customWidth="1" min="22" max="22"/>
    <col width="11" customWidth="1" min="23" max="23"/>
    <col width="34" customWidth="1" min="24" max="24"/>
    <col width="30" customWidth="1" min="25" max="25"/>
  </cols>
  <sheetData>
    <row r="1">
      <c r="A1" s="9" t="inlineStr">
        <is>
          <t>Manager Readiness Review</t>
        </is>
      </c>
    </row>
    <row r="2" ht="28" customHeight="1">
      <c r="A2" s="10" t="inlineStr">
        <is>
          <t>HOW TO USE THIS TAB: One row per manager. For each behavior, pick Yes, Sometimes, or No and write the evidence from the last ninety days beside it. Teal columns calculate. Use the override column only when you disagree with the score, and say why in the notes. The rows are an example; replace them.</t>
        </is>
      </c>
    </row>
    <row r="3">
      <c r="A3" s="11" t="inlineStr">
        <is>
          <t>© 2026 Elizabeth A. Corey. All rights reserved. GROWTH Execution Model™. onthegrow.ai</t>
        </is>
      </c>
    </row>
    <row r="4" ht="46" customHeight="1">
      <c r="A4" s="12" t="inlineStr">
        <is>
          <t>Manager</t>
        </is>
      </c>
      <c r="B4" s="12" t="inlineStr">
        <is>
          <t>Team</t>
        </is>
      </c>
      <c r="C4" s="12" t="inlineStr">
        <is>
          <t>People the rollout reaches</t>
        </is>
      </c>
      <c r="D4" s="12" t="inlineStr">
        <is>
          <t>Sets written standards</t>
        </is>
      </c>
      <c r="E4" s="12" t="inlineStr">
        <is>
          <t>Evidence (last 90 days)</t>
        </is>
      </c>
      <c r="F4" s="12" t="inlineStr">
        <is>
          <t>Catches confident errors</t>
        </is>
      </c>
      <c r="G4" s="12" t="inlineStr">
        <is>
          <t>Evidence (last 90 days)</t>
        </is>
      </c>
      <c r="H4" s="12" t="inlineStr">
        <is>
          <t>Overrides and can say why</t>
        </is>
      </c>
      <c r="I4" s="12" t="inlineStr">
        <is>
          <t>Evidence (last 90 days)</t>
        </is>
      </c>
      <c r="J4" s="12" t="inlineStr">
        <is>
          <t>Delivers feedback before it piles up</t>
        </is>
      </c>
      <c r="K4" s="12" t="inlineStr">
        <is>
          <t>Evidence (last 90 days)</t>
        </is>
      </c>
      <c r="L4" s="12" t="inlineStr">
        <is>
          <t>Runs a consistent conversation</t>
        </is>
      </c>
      <c r="M4" s="12" t="inlineStr">
        <is>
          <t>Evidence (last 90 days)</t>
        </is>
      </c>
      <c r="N4" s="12" t="inlineStr">
        <is>
          <t>Coaches and develops, people and agents both</t>
        </is>
      </c>
      <c r="O4" s="12" t="inlineStr">
        <is>
          <t>Evidence (last 90 days)</t>
        </is>
      </c>
      <c r="P4" s="13" t="inlineStr">
        <is>
          <t>Behavior score (of 6)</t>
        </is>
      </c>
      <c r="Q4" s="13" t="inlineStr">
        <is>
          <t>No answers</t>
        </is>
      </c>
      <c r="R4" s="13" t="inlineStr">
        <is>
          <t>Evidence missing</t>
        </is>
      </c>
      <c r="S4" s="13" t="inlineStr">
        <is>
          <t>Suggested disposition</t>
        </is>
      </c>
      <c r="T4" s="12" t="inlineStr">
        <is>
          <t>Disposition override</t>
        </is>
      </c>
      <c r="U4" s="13" t="inlineStr">
        <is>
          <t>Disposition</t>
        </is>
      </c>
      <c r="V4" s="12" t="inlineStr">
        <is>
          <t>Named coach</t>
        </is>
      </c>
      <c r="W4" s="12" t="inlineStr">
        <is>
          <t>Date</t>
        </is>
      </c>
      <c r="X4" s="13" t="inlineStr">
        <is>
          <t>Next action</t>
        </is>
      </c>
      <c r="Y4" s="12" t="inlineStr">
        <is>
          <t>Notes</t>
        </is>
      </c>
    </row>
    <row r="5">
      <c r="A5" s="14" t="inlineStr">
        <is>
          <t>Service team lead</t>
        </is>
      </c>
      <c r="B5" s="14" t="inlineStr">
        <is>
          <t>Customer service, east</t>
        </is>
      </c>
      <c r="C5" s="15" t="n">
        <v>14</v>
      </c>
      <c r="D5" s="15" t="inlineStr">
        <is>
          <t>Yes</t>
        </is>
      </c>
      <c r="E5" s="14" t="inlineStr">
        <is>
          <t>Scorecard posted and used in reviews</t>
        </is>
      </c>
      <c r="F5" s="15" t="inlineStr">
        <is>
          <t>Yes</t>
        </is>
      </c>
      <c r="G5" s="14" t="inlineStr">
        <is>
          <t>Flagged a wrong policy citation in an AI draft in August</t>
        </is>
      </c>
      <c r="H5" s="15" t="inlineStr">
        <is>
          <t>Yes</t>
        </is>
      </c>
      <c r="I5" s="14" t="inlineStr">
        <is>
          <t>Documented two overrides with reasons</t>
        </is>
      </c>
      <c r="J5" s="15" t="inlineStr">
        <is>
          <t>Yes</t>
        </is>
      </c>
      <c r="K5" s="14" t="inlineStr">
        <is>
          <t>Two feedback conversations in the quarter, both within a week</t>
        </is>
      </c>
      <c r="L5" s="15" t="inlineStr">
        <is>
          <t>Yes</t>
        </is>
      </c>
      <c r="M5" s="14" t="inlineStr">
        <is>
          <t>Uses the same agenda every 1:1</t>
        </is>
      </c>
      <c r="N5" s="15" t="inlineStr">
        <is>
          <t>Sometimes</t>
        </is>
      </c>
      <c r="O5" s="14" t="inlineStr">
        <is>
          <t>Runs development talks; has not yet coached the agent</t>
        </is>
      </c>
      <c r="P5" s="16">
        <f>IF(A5="","",IF(COUNTA(D5)+COUNTA(F5)+COUNTA(H5)+COUNTA(J5)+COUNTA(L5)+COUNTA(N5)&lt;6,"",IF(D5="Yes",1,IF(D5="Sometimes",0.5,0))+IF(F5="Yes",1,IF(F5="Sometimes",0.5,0))+IF(H5="Yes",1,IF(H5="Sometimes",0.5,0))+IF(J5="Yes",1,IF(J5="Sometimes",0.5,0))+IF(L5="Yes",1,IF(L5="Sometimes",0.5,0))+IF(N5="Yes",1,IF(N5="Sometimes",0.5,0))))</f>
        <v/>
      </c>
      <c r="Q5" s="16">
        <f>IF(P5="","",IF(D5="No",1,0)+IF(F5="No",1,0)+IF(H5="No",1,0)+IF(J5="No",1,0)+IF(L5="No",1,0)+IF(N5="No",1,0))</f>
        <v/>
      </c>
      <c r="R5" s="16">
        <f>IF(A5="","",6-COUNTA(E5)-COUNTA(G5)-COUNTA(I5)-COUNTA(K5)-COUNTA(M5)-COUNTA(O5))</f>
        <v/>
      </c>
      <c r="S5" s="17">
        <f>IF(P5="","",IF(OR(P5&lt;3.5,Q5&gt;=2),"Not yet",IF(AND(P5&gt;=5,Q5=0),"Ready","Ready with support")))</f>
        <v/>
      </c>
      <c r="T5" s="14" t="n"/>
      <c r="U5" s="17">
        <f>IF(A5="","",IF(T5&lt;&gt;"",T5,S5))</f>
        <v/>
      </c>
      <c r="V5" s="14" t="n"/>
      <c r="W5" s="18" t="n"/>
      <c r="X5" s="17">
        <f>IF(A5="","",IF(P5="","Score all six behaviors.",IF(R5&gt;0,"Write the evidence. A blank evidence cell is a reputation score.",IF(U5="Ready","Scale now, and scale loudly.",IF(U5="Not yet","Hold at pilot scope until the gap closes. Name what closes it.",IF(V5="","Name a coach.",IF(W5="","Set a date.","Scale with support. Review on the date.")))))))</f>
        <v/>
      </c>
      <c r="Y5" s="14" t="n"/>
    </row>
    <row r="6">
      <c r="A6" s="14" t="inlineStr">
        <is>
          <t>Regional operations manager</t>
        </is>
      </c>
      <c r="B6" s="14" t="inlineStr">
        <is>
          <t>Operations, north</t>
        </is>
      </c>
      <c r="C6" s="15" t="n">
        <v>22</v>
      </c>
      <c r="D6" s="15" t="inlineStr">
        <is>
          <t>Yes</t>
        </is>
      </c>
      <c r="E6" s="14" t="inlineStr">
        <is>
          <t>Written standards for every role</t>
        </is>
      </c>
      <c r="F6" s="15" t="inlineStr">
        <is>
          <t>Sometimes</t>
        </is>
      </c>
      <c r="G6" s="14" t="inlineStr">
        <is>
          <t>Caught one of two seeded errors</t>
        </is>
      </c>
      <c r="H6" s="15" t="inlineStr">
        <is>
          <t>Yes</t>
        </is>
      </c>
      <c r="I6" s="14" t="inlineStr">
        <is>
          <t>Overrode agent on a scheduling call and logged why</t>
        </is>
      </c>
      <c r="J6" s="15" t="inlineStr">
        <is>
          <t>Sometimes</t>
        </is>
      </c>
      <c r="K6" s="14" t="inlineStr">
        <is>
          <t>One conversation waited six weeks</t>
        </is>
      </c>
      <c r="L6" s="15" t="inlineStr">
        <is>
          <t>Yes</t>
        </is>
      </c>
      <c r="M6" s="14" t="inlineStr">
        <is>
          <t>Same structure across all 1:1s</t>
        </is>
      </c>
      <c r="N6" s="15" t="inlineStr">
        <is>
          <t>Yes</t>
        </is>
      </c>
      <c r="O6" s="14" t="inlineStr">
        <is>
          <t>Coached the scheduling agent after a bad week</t>
        </is>
      </c>
      <c r="P6" s="16">
        <f>IF(A6="","",IF(COUNTA(D6)+COUNTA(F6)+COUNTA(H6)+COUNTA(J6)+COUNTA(L6)+COUNTA(N6)&lt;6,"",IF(D6="Yes",1,IF(D6="Sometimes",0.5,0))+IF(F6="Yes",1,IF(F6="Sometimes",0.5,0))+IF(H6="Yes",1,IF(H6="Sometimes",0.5,0))+IF(J6="Yes",1,IF(J6="Sometimes",0.5,0))+IF(L6="Yes",1,IF(L6="Sometimes",0.5,0))+IF(N6="Yes",1,IF(N6="Sometimes",0.5,0))))</f>
        <v/>
      </c>
      <c r="Q6" s="16">
        <f>IF(P6="","",IF(D6="No",1,0)+IF(F6="No",1,0)+IF(H6="No",1,0)+IF(J6="No",1,0)+IF(L6="No",1,0)+IF(N6="No",1,0))</f>
        <v/>
      </c>
      <c r="R6" s="16">
        <f>IF(A6="","",6-COUNTA(E6)-COUNTA(G6)-COUNTA(I6)-COUNTA(K6)-COUNTA(M6)-COUNTA(O6))</f>
        <v/>
      </c>
      <c r="S6" s="17">
        <f>IF(P6="","",IF(OR(P6&lt;3.5,Q6&gt;=2),"Not yet",IF(AND(P6&gt;=5,Q6=0),"Ready","Ready with support")))</f>
        <v/>
      </c>
      <c r="T6" s="14" t="n"/>
      <c r="U6" s="17">
        <f>IF(A6="","",IF(T6&lt;&gt;"",T6,S6))</f>
        <v/>
      </c>
      <c r="V6" s="14" t="n"/>
      <c r="W6" s="18" t="n"/>
      <c r="X6" s="17">
        <f>IF(A6="","",IF(P6="","Score all six behaviors.",IF(R6&gt;0,"Write the evidence. A blank evidence cell is a reputation score.",IF(U6="Ready","Scale now, and scale loudly.",IF(U6="Not yet","Hold at pilot scope until the gap closes. Name what closes it.",IF(V6="","Name a coach.",IF(W6="","Set a date.","Scale with support. Review on the date.")))))))</f>
        <v/>
      </c>
      <c r="Y6" s="14" t="n"/>
    </row>
    <row r="7">
      <c r="A7" s="14" t="inlineStr">
        <is>
          <t>Recruiting manager</t>
        </is>
      </c>
      <c r="B7" s="14" t="inlineStr">
        <is>
          <t>Talent acquisition</t>
        </is>
      </c>
      <c r="C7" s="15" t="n">
        <v>9</v>
      </c>
      <c r="D7" s="15" t="inlineStr">
        <is>
          <t>Yes</t>
        </is>
      </c>
      <c r="E7" s="14" t="inlineStr">
        <is>
          <t>Performance profiles written for every open role</t>
        </is>
      </c>
      <c r="F7" s="15" t="inlineStr">
        <is>
          <t>Yes</t>
        </is>
      </c>
      <c r="G7" s="14" t="inlineStr">
        <is>
          <t>Rejected an AI shortlist that screened out a strong applicant</t>
        </is>
      </c>
      <c r="H7" s="15" t="inlineStr">
        <is>
          <t>Yes</t>
        </is>
      </c>
      <c r="I7" s="14" t="inlineStr">
        <is>
          <t>Documents every override in the ATS</t>
        </is>
      </c>
      <c r="J7" s="15" t="inlineStr">
        <is>
          <t>Yes</t>
        </is>
      </c>
      <c r="K7" s="14" t="inlineStr">
        <is>
          <t>Weekly feedback cadence</t>
        </is>
      </c>
      <c r="L7" s="15" t="inlineStr">
        <is>
          <t>Yes</t>
        </is>
      </c>
      <c r="M7" s="14" t="inlineStr">
        <is>
          <t>GROWTH agenda in every 1:1</t>
        </is>
      </c>
      <c r="N7" s="15" t="inlineStr">
        <is>
          <t>Yes</t>
        </is>
      </c>
      <c r="O7" s="14" t="inlineStr">
        <is>
          <t>Runs after-action reviews with the team and the agent</t>
        </is>
      </c>
      <c r="P7" s="16">
        <f>IF(A7="","",IF(COUNTA(D7)+COUNTA(F7)+COUNTA(H7)+COUNTA(J7)+COUNTA(L7)+COUNTA(N7)&lt;6,"",IF(D7="Yes",1,IF(D7="Sometimes",0.5,0))+IF(F7="Yes",1,IF(F7="Sometimes",0.5,0))+IF(H7="Yes",1,IF(H7="Sometimes",0.5,0))+IF(J7="Yes",1,IF(J7="Sometimes",0.5,0))+IF(L7="Yes",1,IF(L7="Sometimes",0.5,0))+IF(N7="Yes",1,IF(N7="Sometimes",0.5,0))))</f>
        <v/>
      </c>
      <c r="Q7" s="16">
        <f>IF(P7="","",IF(D7="No",1,0)+IF(F7="No",1,0)+IF(H7="No",1,0)+IF(J7="No",1,0)+IF(L7="No",1,0)+IF(N7="No",1,0))</f>
        <v/>
      </c>
      <c r="R7" s="16">
        <f>IF(A7="","",6-COUNTA(E7)-COUNTA(G7)-COUNTA(I7)-COUNTA(K7)-COUNTA(M7)-COUNTA(O7))</f>
        <v/>
      </c>
      <c r="S7" s="17">
        <f>IF(P7="","",IF(OR(P7&lt;3.5,Q7&gt;=2),"Not yet",IF(AND(P7&gt;=5,Q7=0),"Ready","Ready with support")))</f>
        <v/>
      </c>
      <c r="T7" s="14" t="n"/>
      <c r="U7" s="17">
        <f>IF(A7="","",IF(T7&lt;&gt;"",T7,S7))</f>
        <v/>
      </c>
      <c r="V7" s="14" t="n"/>
      <c r="W7" s="18" t="n"/>
      <c r="X7" s="17">
        <f>IF(A7="","",IF(P7="","Score all six behaviors.",IF(R7&gt;0,"Write the evidence. A blank evidence cell is a reputation score.",IF(U7="Ready","Scale now, and scale loudly.",IF(U7="Not yet","Hold at pilot scope until the gap closes. Name what closes it.",IF(V7="","Name a coach.",IF(W7="","Set a date.","Scale with support. Review on the date.")))))))</f>
        <v/>
      </c>
      <c r="Y7" s="14" t="n"/>
    </row>
    <row r="8">
      <c r="A8" s="14" t="inlineStr">
        <is>
          <t>Payroll supervisor</t>
        </is>
      </c>
      <c r="B8" s="14" t="inlineStr">
        <is>
          <t>Finance shared services</t>
        </is>
      </c>
      <c r="C8" s="15" t="n">
        <v>11</v>
      </c>
      <c r="D8" s="15" t="inlineStr">
        <is>
          <t>Sometimes</t>
        </is>
      </c>
      <c r="E8" s="14" t="inlineStr">
        <is>
          <t>Standards exist for some tasks, not all</t>
        </is>
      </c>
      <c r="F8" s="15" t="inlineStr">
        <is>
          <t>No</t>
        </is>
      </c>
      <c r="G8" s="14" t="inlineStr">
        <is>
          <t>Forwarded the fabricated citation without checking it</t>
        </is>
      </c>
      <c r="H8" s="15" t="inlineStr">
        <is>
          <t>Sometimes</t>
        </is>
      </c>
      <c r="I8" s="14" t="inlineStr">
        <is>
          <t>Accepts system output by default</t>
        </is>
      </c>
      <c r="J8" s="15" t="inlineStr">
        <is>
          <t>Yes</t>
        </is>
      </c>
      <c r="K8" s="14" t="inlineStr">
        <is>
          <t>Raises issues quickly</t>
        </is>
      </c>
      <c r="L8" s="15" t="inlineStr">
        <is>
          <t>Yes</t>
        </is>
      </c>
      <c r="M8" s="14" t="inlineStr">
        <is>
          <t>Consistent 1:1 structure</t>
        </is>
      </c>
      <c r="N8" s="15" t="inlineStr">
        <is>
          <t>Sometimes</t>
        </is>
      </c>
      <c r="O8" s="14" t="inlineStr">
        <is>
          <t>Develops people; agent coaching not started</t>
        </is>
      </c>
      <c r="P8" s="16">
        <f>IF(A8="","",IF(COUNTA(D8)+COUNTA(F8)+COUNTA(H8)+COUNTA(J8)+COUNTA(L8)+COUNTA(N8)&lt;6,"",IF(D8="Yes",1,IF(D8="Sometimes",0.5,0))+IF(F8="Yes",1,IF(F8="Sometimes",0.5,0))+IF(H8="Yes",1,IF(H8="Sometimes",0.5,0))+IF(J8="Yes",1,IF(J8="Sometimes",0.5,0))+IF(L8="Yes",1,IF(L8="Sometimes",0.5,0))+IF(N8="Yes",1,IF(N8="Sometimes",0.5,0))))</f>
        <v/>
      </c>
      <c r="Q8" s="16">
        <f>IF(P8="","",IF(D8="No",1,0)+IF(F8="No",1,0)+IF(H8="No",1,0)+IF(J8="No",1,0)+IF(L8="No",1,0)+IF(N8="No",1,0))</f>
        <v/>
      </c>
      <c r="R8" s="16">
        <f>IF(A8="","",6-COUNTA(E8)-COUNTA(G8)-COUNTA(I8)-COUNTA(K8)-COUNTA(M8)-COUNTA(O8))</f>
        <v/>
      </c>
      <c r="S8" s="17">
        <f>IF(P8="","",IF(OR(P8&lt;3.5,Q8&gt;=2),"Not yet",IF(AND(P8&gt;=5,Q8=0),"Ready","Ready with support")))</f>
        <v/>
      </c>
      <c r="T8" s="14" t="n"/>
      <c r="U8" s="17">
        <f>IF(A8="","",IF(T8&lt;&gt;"",T8,S8))</f>
        <v/>
      </c>
      <c r="V8" s="14" t="inlineStr">
        <is>
          <t>Recruiting manager</t>
        </is>
      </c>
      <c r="W8" s="18" t="n">
        <v>46418</v>
      </c>
      <c r="X8" s="17">
        <f>IF(A8="","",IF(P8="","Score all six behaviors.",IF(R8&gt;0,"Write the evidence. A blank evidence cell is a reputation score.",IF(U8="Ready","Scale now, and scale loudly.",IF(U8="Not yet","Hold at pilot scope until the gap closes. Name what closes it.",IF(V8="","Name a coach.",IF(W8="","Set a date.","Scale with support. Review on the date.")))))))</f>
        <v/>
      </c>
      <c r="Y8" s="14" t="inlineStr">
        <is>
          <t>Forwarded the fabricated citation. One No, and it is the one that matters most at volume.</t>
        </is>
      </c>
    </row>
    <row r="9">
      <c r="A9" s="14" t="inlineStr">
        <is>
          <t>Benefits manager</t>
        </is>
      </c>
      <c r="B9" s="14" t="inlineStr">
        <is>
          <t>HR operations</t>
        </is>
      </c>
      <c r="C9" s="15" t="n">
        <v>7</v>
      </c>
      <c r="D9" s="15" t="inlineStr">
        <is>
          <t>Sometimes</t>
        </is>
      </c>
      <c r="E9" s="14" t="inlineStr">
        <is>
          <t>SLAs written for some case types, not all</t>
        </is>
      </c>
      <c r="F9" s="15" t="inlineStr">
        <is>
          <t>Yes</t>
        </is>
      </c>
      <c r="G9" s="14" t="inlineStr">
        <is>
          <t>Caught the seeded enrollment error</t>
        </is>
      </c>
      <c r="H9" s="15" t="inlineStr">
        <is>
          <t>Sometimes</t>
        </is>
      </c>
      <c r="I9" s="14" t="inlineStr">
        <is>
          <t>Overrides, but reasons are not always written</t>
        </is>
      </c>
      <c r="J9" s="15" t="inlineStr">
        <is>
          <t>Sometimes</t>
        </is>
      </c>
      <c r="K9" s="14" t="inlineStr">
        <is>
          <t>Feedback is prompt with some people, slow with others</t>
        </is>
      </c>
      <c r="L9" s="15" t="inlineStr">
        <is>
          <t>Yes</t>
        </is>
      </c>
      <c r="M9" s="14" t="inlineStr">
        <is>
          <t>Same agenda every week</t>
        </is>
      </c>
      <c r="N9" s="15" t="inlineStr">
        <is>
          <t>Yes</t>
        </is>
      </c>
      <c r="O9" s="14" t="inlineStr">
        <is>
          <t>Coaches people and reviews agent samples weekly</t>
        </is>
      </c>
      <c r="P9" s="16">
        <f>IF(A9="","",IF(COUNTA(D9)+COUNTA(F9)+COUNTA(H9)+COUNTA(J9)+COUNTA(L9)+COUNTA(N9)&lt;6,"",IF(D9="Yes",1,IF(D9="Sometimes",0.5,0))+IF(F9="Yes",1,IF(F9="Sometimes",0.5,0))+IF(H9="Yes",1,IF(H9="Sometimes",0.5,0))+IF(J9="Yes",1,IF(J9="Sometimes",0.5,0))+IF(L9="Yes",1,IF(L9="Sometimes",0.5,0))+IF(N9="Yes",1,IF(N9="Sometimes",0.5,0))))</f>
        <v/>
      </c>
      <c r="Q9" s="16">
        <f>IF(P9="","",IF(D9="No",1,0)+IF(F9="No",1,0)+IF(H9="No",1,0)+IF(J9="No",1,0)+IF(L9="No",1,0)+IF(N9="No",1,0))</f>
        <v/>
      </c>
      <c r="R9" s="16">
        <f>IF(A9="","",6-COUNTA(E9)-COUNTA(G9)-COUNTA(I9)-COUNTA(K9)-COUNTA(M9)-COUNTA(O9))</f>
        <v/>
      </c>
      <c r="S9" s="17">
        <f>IF(P9="","",IF(OR(P9&lt;3.5,Q9&gt;=2),"Not yet",IF(AND(P9&gt;=5,Q9=0),"Ready","Ready with support")))</f>
        <v/>
      </c>
      <c r="T9" s="14" t="n"/>
      <c r="U9" s="17">
        <f>IF(A9="","",IF(T9&lt;&gt;"",T9,S9))</f>
        <v/>
      </c>
      <c r="V9" s="14" t="inlineStr">
        <is>
          <t>Service team lead</t>
        </is>
      </c>
      <c r="W9" s="18" t="n">
        <v>46418</v>
      </c>
      <c r="X9" s="17">
        <f>IF(A9="","",IF(P9="","Score all six behaviors.",IF(R9&gt;0,"Write the evidence. A blank evidence cell is a reputation score.",IF(U9="Ready","Scale now, and scale loudly.",IF(U9="Not yet","Hold at pilot scope until the gap closes. Name what closes it.",IF(V9="","Name a coach.",IF(W9="","Set a date.","Scale with support. Review on the date.")))))))</f>
        <v/>
      </c>
      <c r="Y9" s="14" t="n"/>
    </row>
    <row r="10">
      <c r="A10" s="14" t="inlineStr">
        <is>
          <t>Plant HR generalist lead</t>
        </is>
      </c>
      <c r="B10" s="14" t="inlineStr">
        <is>
          <t>HR, plant A</t>
        </is>
      </c>
      <c r="C10" s="15" t="n">
        <v>18</v>
      </c>
      <c r="D10" s="15" t="inlineStr">
        <is>
          <t>Sometimes</t>
        </is>
      </c>
      <c r="E10" s="14" t="inlineStr">
        <is>
          <t>Standards live in the lead's head</t>
        </is>
      </c>
      <c r="F10" s="15" t="inlineStr">
        <is>
          <t>Sometimes</t>
        </is>
      </c>
      <c r="G10" s="14" t="inlineStr">
        <is>
          <t>Caught one seeded error of two</t>
        </is>
      </c>
      <c r="H10" s="15" t="inlineStr">
        <is>
          <t>No</t>
        </is>
      </c>
      <c r="I10" s="14" t="inlineStr">
        <is>
          <t>Cannot say why the agent was or was not overruled</t>
        </is>
      </c>
      <c r="J10" s="15" t="inlineStr">
        <is>
          <t>Sometimes</t>
        </is>
      </c>
      <c r="K10" s="14" t="inlineStr">
        <is>
          <t>Feedback tends to wait for the review cycle</t>
        </is>
      </c>
      <c r="L10" s="15" t="inlineStr">
        <is>
          <t>Sometimes</t>
        </is>
      </c>
      <c r="M10" s="14" t="inlineStr">
        <is>
          <t>Structure varies by person</t>
        </is>
      </c>
      <c r="N10" s="15" t="inlineStr">
        <is>
          <t>Sometimes</t>
        </is>
      </c>
      <c r="O10" s="14" t="inlineStr">
        <is>
          <t>Informal development only</t>
        </is>
      </c>
      <c r="P10" s="16">
        <f>IF(A10="","",IF(COUNTA(D10)+COUNTA(F10)+COUNTA(H10)+COUNTA(J10)+COUNTA(L10)+COUNTA(N10)&lt;6,"",IF(D10="Yes",1,IF(D10="Sometimes",0.5,0))+IF(F10="Yes",1,IF(F10="Sometimes",0.5,0))+IF(H10="Yes",1,IF(H10="Sometimes",0.5,0))+IF(J10="Yes",1,IF(J10="Sometimes",0.5,0))+IF(L10="Yes",1,IF(L10="Sometimes",0.5,0))+IF(N10="Yes",1,IF(N10="Sometimes",0.5,0))))</f>
        <v/>
      </c>
      <c r="Q10" s="16">
        <f>IF(P10="","",IF(D10="No",1,0)+IF(F10="No",1,0)+IF(H10="No",1,0)+IF(J10="No",1,0)+IF(L10="No",1,0)+IF(N10="No",1,0))</f>
        <v/>
      </c>
      <c r="R10" s="16">
        <f>IF(A10="","",6-COUNTA(E10)-COUNTA(G10)-COUNTA(I10)-COUNTA(K10)-COUNTA(M10)-COUNTA(O10))</f>
        <v/>
      </c>
      <c r="S10" s="17">
        <f>IF(P10="","",IF(OR(P10&lt;3.5,Q10&gt;=2),"Not yet",IF(AND(P10&gt;=5,Q10=0),"Ready","Ready with support")))</f>
        <v/>
      </c>
      <c r="T10" s="14" t="n"/>
      <c r="U10" s="17">
        <f>IF(A10="","",IF(T10&lt;&gt;"",T10,S10))</f>
        <v/>
      </c>
      <c r="V10" s="14" t="n"/>
      <c r="W10" s="18" t="n"/>
      <c r="X10" s="17">
        <f>IF(A10="","",IF(P10="","Score all six behaviors.",IF(R10&gt;0,"Write the evidence. A blank evidence cell is a reputation score.",IF(U10="Ready","Scale now, and scale loudly.",IF(U10="Not yet","Hold at pilot scope until the gap closes. Name what closes it.",IF(V10="","Name a coach.",IF(W10="","Set a date.","Scale with support. Review on the date.")))))))</f>
        <v/>
      </c>
      <c r="Y10" s="14" t="n"/>
    </row>
    <row r="11">
      <c r="A11" s="14" t="inlineStr">
        <is>
          <t>Accounts payable supervisor</t>
        </is>
      </c>
      <c r="B11" s="14" t="inlineStr">
        <is>
          <t>Finance shared services</t>
        </is>
      </c>
      <c r="C11" s="15" t="n">
        <v>12</v>
      </c>
      <c r="D11" s="15" t="inlineStr">
        <is>
          <t>Yes</t>
        </is>
      </c>
      <c r="E11" s="14" t="inlineStr">
        <is>
          <t>Written approval standards</t>
        </is>
      </c>
      <c r="F11" s="15" t="inlineStr">
        <is>
          <t>Yes</t>
        </is>
      </c>
      <c r="G11" s="14" t="inlineStr">
        <is>
          <t>Caught both seeded errors</t>
        </is>
      </c>
      <c r="H11" s="15" t="inlineStr">
        <is>
          <t>Yes</t>
        </is>
      </c>
      <c r="I11" s="14" t="inlineStr">
        <is>
          <t>Overrides with a note every time</t>
        </is>
      </c>
      <c r="J11" s="15" t="inlineStr">
        <is>
          <t>Sometimes</t>
        </is>
      </c>
      <c r="K11" s="14" t="inlineStr">
        <is>
          <t>Feedback sometimes waits for month end</t>
        </is>
      </c>
      <c r="L11" s="15" t="inlineStr">
        <is>
          <t>Sometimes</t>
        </is>
      </c>
      <c r="M11" s="14" t="inlineStr">
        <is>
          <t>Agenda drifts under volume</t>
        </is>
      </c>
      <c r="N11" s="15" t="inlineStr">
        <is>
          <t>Sometimes</t>
        </is>
      </c>
      <c r="O11" s="14" t="inlineStr">
        <is>
          <t>Develops people; no agent coaching yet</t>
        </is>
      </c>
      <c r="P11" s="16">
        <f>IF(A11="","",IF(COUNTA(D11)+COUNTA(F11)+COUNTA(H11)+COUNTA(J11)+COUNTA(L11)+COUNTA(N11)&lt;6,"",IF(D11="Yes",1,IF(D11="Sometimes",0.5,0))+IF(F11="Yes",1,IF(F11="Sometimes",0.5,0))+IF(H11="Yes",1,IF(H11="Sometimes",0.5,0))+IF(J11="Yes",1,IF(J11="Sometimes",0.5,0))+IF(L11="Yes",1,IF(L11="Sometimes",0.5,0))+IF(N11="Yes",1,IF(N11="Sometimes",0.5,0))))</f>
        <v/>
      </c>
      <c r="Q11" s="16">
        <f>IF(P11="","",IF(D11="No",1,0)+IF(F11="No",1,0)+IF(H11="No",1,0)+IF(J11="No",1,0)+IF(L11="No",1,0)+IF(N11="No",1,0))</f>
        <v/>
      </c>
      <c r="R11" s="16">
        <f>IF(A11="","",6-COUNTA(E11)-COUNTA(G11)-COUNTA(I11)-COUNTA(K11)-COUNTA(M11)-COUNTA(O11))</f>
        <v/>
      </c>
      <c r="S11" s="17">
        <f>IF(P11="","",IF(OR(P11&lt;3.5,Q11&gt;=2),"Not yet",IF(AND(P11&gt;=5,Q11=0),"Ready","Ready with support")))</f>
        <v/>
      </c>
      <c r="T11" s="14" t="n"/>
      <c r="U11" s="17">
        <f>IF(A11="","",IF(T11&lt;&gt;"",T11,S11))</f>
        <v/>
      </c>
      <c r="V11" s="14" t="inlineStr">
        <is>
          <t>Customer onboarding lead</t>
        </is>
      </c>
      <c r="W11" s="18" t="n">
        <v>46446</v>
      </c>
      <c r="X11" s="17">
        <f>IF(A11="","",IF(P11="","Score all six behaviors.",IF(R11&gt;0,"Write the evidence. A blank evidence cell is a reputation score.",IF(U11="Ready","Scale now, and scale loudly.",IF(U11="Not yet","Hold at pilot scope until the gap closes. Name what closes it.",IF(V11="","Name a coach.",IF(W11="","Set a date.","Scale with support. Review on the date.")))))))</f>
        <v/>
      </c>
      <c r="Y11" s="14" t="n"/>
    </row>
    <row r="12">
      <c r="A12" s="14" t="inlineStr">
        <is>
          <t>Field sales manager</t>
        </is>
      </c>
      <c r="B12" s="14" t="inlineStr">
        <is>
          <t>Sales, west</t>
        </is>
      </c>
      <c r="C12" s="15" t="n">
        <v>16</v>
      </c>
      <c r="D12" s="15" t="inlineStr">
        <is>
          <t>Sometimes</t>
        </is>
      </c>
      <c r="E12" s="14" t="inlineStr">
        <is>
          <t>Targets are written; quality standards are not</t>
        </is>
      </c>
      <c r="F12" s="15" t="inlineStr">
        <is>
          <t>Yes</t>
        </is>
      </c>
      <c r="G12" s="14" t="inlineStr">
        <is>
          <t>Caught an AI pricing error before it reached a customer</t>
        </is>
      </c>
      <c r="H12" s="15" t="inlineStr">
        <is>
          <t>Yes</t>
        </is>
      </c>
      <c r="I12" s="14" t="inlineStr">
        <is>
          <t>Overrides often and explains why</t>
        </is>
      </c>
      <c r="J12" s="15" t="inlineStr">
        <is>
          <t>Yes</t>
        </is>
      </c>
      <c r="K12" s="14" t="inlineStr">
        <is>
          <t>Direct and early with feedback</t>
        </is>
      </c>
      <c r="L12" s="15" t="inlineStr">
        <is>
          <t>No</t>
        </is>
      </c>
      <c r="M12" s="14" t="inlineStr">
        <is>
          <t>Every 1:1 is different</t>
        </is>
      </c>
      <c r="N12" s="15" t="inlineStr">
        <is>
          <t>Sometimes</t>
        </is>
      </c>
      <c r="O12" s="14" t="inlineStr">
        <is>
          <t>Coaches deals, not development</t>
        </is>
      </c>
      <c r="P12" s="16">
        <f>IF(A12="","",IF(COUNTA(D12)+COUNTA(F12)+COUNTA(H12)+COUNTA(J12)+COUNTA(L12)+COUNTA(N12)&lt;6,"",IF(D12="Yes",1,IF(D12="Sometimes",0.5,0))+IF(F12="Yes",1,IF(F12="Sometimes",0.5,0))+IF(H12="Yes",1,IF(H12="Sometimes",0.5,0))+IF(J12="Yes",1,IF(J12="Sometimes",0.5,0))+IF(L12="Yes",1,IF(L12="Sometimes",0.5,0))+IF(N12="Yes",1,IF(N12="Sometimes",0.5,0))))</f>
        <v/>
      </c>
      <c r="Q12" s="16">
        <f>IF(P12="","",IF(D12="No",1,0)+IF(F12="No",1,0)+IF(H12="No",1,0)+IF(J12="No",1,0)+IF(L12="No",1,0)+IF(N12="No",1,0))</f>
        <v/>
      </c>
      <c r="R12" s="16">
        <f>IF(A12="","",6-COUNTA(E12)-COUNTA(G12)-COUNTA(I12)-COUNTA(K12)-COUNTA(M12)-COUNTA(O12))</f>
        <v/>
      </c>
      <c r="S12" s="17">
        <f>IF(P12="","",IF(OR(P12&lt;3.5,Q12&gt;=2),"Not yet",IF(AND(P12&gt;=5,Q12=0),"Ready","Ready with support")))</f>
        <v/>
      </c>
      <c r="T12" s="14" t="n"/>
      <c r="U12" s="17">
        <f>IF(A12="","",IF(T12&lt;&gt;"",T12,S12))</f>
        <v/>
      </c>
      <c r="V12" s="14" t="inlineStr">
        <is>
          <t>Recruiting manager</t>
        </is>
      </c>
      <c r="W12" s="18" t="n">
        <v>46418</v>
      </c>
      <c r="X12" s="17">
        <f>IF(A12="","",IF(P12="","Score all six behaviors.",IF(R12&gt;0,"Write the evidence. A blank evidence cell is a reputation score.",IF(U12="Ready","Scale now, and scale loudly.",IF(U12="Not yet","Hold at pilot scope until the gap closes. Name what closes it.",IF(V12="","Name a coach.",IF(W12="","Set a date.","Scale with support. Review on the date.")))))))</f>
        <v/>
      </c>
      <c r="Y12" s="14" t="n"/>
    </row>
    <row r="13">
      <c r="A13" s="14" t="inlineStr">
        <is>
          <t>Customer onboarding lead</t>
        </is>
      </c>
      <c r="B13" s="14" t="inlineStr">
        <is>
          <t>Customer success</t>
        </is>
      </c>
      <c r="C13" s="15" t="n">
        <v>10</v>
      </c>
      <c r="D13" s="15" t="inlineStr">
        <is>
          <t>Yes</t>
        </is>
      </c>
      <c r="E13" s="14" t="inlineStr">
        <is>
          <t>Written onboarding standard</t>
        </is>
      </c>
      <c r="F13" s="15" t="inlineStr">
        <is>
          <t>Yes</t>
        </is>
      </c>
      <c r="G13" s="14" t="inlineStr">
        <is>
          <t>Caught a wrong contract term in an AI summary</t>
        </is>
      </c>
      <c r="H13" s="15" t="inlineStr">
        <is>
          <t>Yes</t>
        </is>
      </c>
      <c r="I13" s="14" t="inlineStr">
        <is>
          <t>Logs overrides</t>
        </is>
      </c>
      <c r="J13" s="15" t="inlineStr">
        <is>
          <t>Yes</t>
        </is>
      </c>
      <c r="K13" s="14" t="inlineStr">
        <is>
          <t>Weekly feedback</t>
        </is>
      </c>
      <c r="L13" s="15" t="inlineStr">
        <is>
          <t>Sometimes</t>
        </is>
      </c>
      <c r="M13" s="14" t="inlineStr">
        <is>
          <t>Mostly consistent; drifts when travelling</t>
        </is>
      </c>
      <c r="N13" s="15" t="inlineStr">
        <is>
          <t>Yes</t>
        </is>
      </c>
      <c r="O13" s="14" t="inlineStr">
        <is>
          <t>Coaches people and the onboarding agent</t>
        </is>
      </c>
      <c r="P13" s="16">
        <f>IF(A13="","",IF(COUNTA(D13)+COUNTA(F13)+COUNTA(H13)+COUNTA(J13)+COUNTA(L13)+COUNTA(N13)&lt;6,"",IF(D13="Yes",1,IF(D13="Sometimes",0.5,0))+IF(F13="Yes",1,IF(F13="Sometimes",0.5,0))+IF(H13="Yes",1,IF(H13="Sometimes",0.5,0))+IF(J13="Yes",1,IF(J13="Sometimes",0.5,0))+IF(L13="Yes",1,IF(L13="Sometimes",0.5,0))+IF(N13="Yes",1,IF(N13="Sometimes",0.5,0))))</f>
        <v/>
      </c>
      <c r="Q13" s="16">
        <f>IF(P13="","",IF(D13="No",1,0)+IF(F13="No",1,0)+IF(H13="No",1,0)+IF(J13="No",1,0)+IF(L13="No",1,0)+IF(N13="No",1,0))</f>
        <v/>
      </c>
      <c r="R13" s="16">
        <f>IF(A13="","",6-COUNTA(E13)-COUNTA(G13)-COUNTA(I13)-COUNTA(K13)-COUNTA(M13)-COUNTA(O13))</f>
        <v/>
      </c>
      <c r="S13" s="17">
        <f>IF(P13="","",IF(OR(P13&lt;3.5,Q13&gt;=2),"Not yet",IF(AND(P13&gt;=5,Q13=0),"Ready","Ready with support")))</f>
        <v/>
      </c>
      <c r="T13" s="14" t="n"/>
      <c r="U13" s="17">
        <f>IF(A13="","",IF(T13&lt;&gt;"",T13,S13))</f>
        <v/>
      </c>
      <c r="V13" s="14" t="n"/>
      <c r="W13" s="18" t="n"/>
      <c r="X13" s="17">
        <f>IF(A13="","",IF(P13="","Score all six behaviors.",IF(R13&gt;0,"Write the evidence. A blank evidence cell is a reputation score.",IF(U13="Ready","Scale now, and scale loudly.",IF(U13="Not yet","Hold at pilot scope until the gap closes. Name what closes it.",IF(V13="","Name a coach.",IF(W13="","Set a date.","Scale with support. Review on the date.")))))))</f>
        <v/>
      </c>
      <c r="Y13" s="14" t="n"/>
    </row>
    <row r="14">
      <c r="A14" s="14" t="inlineStr">
        <is>
          <t>Warehouse shift manager</t>
        </is>
      </c>
      <c r="B14" s="14" t="inlineStr">
        <is>
          <t>Operations, south</t>
        </is>
      </c>
      <c r="C14" s="15" t="n">
        <v>25</v>
      </c>
      <c r="D14" s="15" t="inlineStr">
        <is>
          <t>No</t>
        </is>
      </c>
      <c r="E14" s="14" t="inlineStr">
        <is>
          <t>No written standards</t>
        </is>
      </c>
      <c r="F14" s="15" t="inlineStr">
        <is>
          <t>No</t>
        </is>
      </c>
      <c r="G14" s="14" t="inlineStr">
        <is>
          <t>Did not check either seeded error</t>
        </is>
      </c>
      <c r="H14" s="15" t="inlineStr">
        <is>
          <t>Sometimes</t>
        </is>
      </c>
      <c r="I14" s="14" t="inlineStr">
        <is>
          <t>Follows the system</t>
        </is>
      </c>
      <c r="J14" s="15" t="inlineStr">
        <is>
          <t>Yes</t>
        </is>
      </c>
      <c r="K14" s="14" t="inlineStr">
        <is>
          <t>Quick to raise issues</t>
        </is>
      </c>
      <c r="L14" s="15" t="inlineStr">
        <is>
          <t>Sometimes</t>
        </is>
      </c>
      <c r="M14" s="14" t="inlineStr">
        <is>
          <t>Varies by shift</t>
        </is>
      </c>
      <c r="N14" s="15" t="inlineStr">
        <is>
          <t>No</t>
        </is>
      </c>
      <c r="O14" s="14" t="inlineStr">
        <is>
          <t>No development conversations in the quarter</t>
        </is>
      </c>
      <c r="P14" s="16">
        <f>IF(A14="","",IF(COUNTA(D14)+COUNTA(F14)+COUNTA(H14)+COUNTA(J14)+COUNTA(L14)+COUNTA(N14)&lt;6,"",IF(D14="Yes",1,IF(D14="Sometimes",0.5,0))+IF(F14="Yes",1,IF(F14="Sometimes",0.5,0))+IF(H14="Yes",1,IF(H14="Sometimes",0.5,0))+IF(J14="Yes",1,IF(J14="Sometimes",0.5,0))+IF(L14="Yes",1,IF(L14="Sometimes",0.5,0))+IF(N14="Yes",1,IF(N14="Sometimes",0.5,0))))</f>
        <v/>
      </c>
      <c r="Q14" s="16">
        <f>IF(P14="","",IF(D14="No",1,0)+IF(F14="No",1,0)+IF(H14="No",1,0)+IF(J14="No",1,0)+IF(L14="No",1,0)+IF(N14="No",1,0))</f>
        <v/>
      </c>
      <c r="R14" s="16">
        <f>IF(A14="","",6-COUNTA(E14)-COUNTA(G14)-COUNTA(I14)-COUNTA(K14)-COUNTA(M14)-COUNTA(O14))</f>
        <v/>
      </c>
      <c r="S14" s="17">
        <f>IF(P14="","",IF(OR(P14&lt;3.5,Q14&gt;=2),"Not yet",IF(AND(P14&gt;=5,Q14=0),"Ready","Ready with support")))</f>
        <v/>
      </c>
      <c r="T14" s="14" t="n"/>
      <c r="U14" s="17">
        <f>IF(A14="","",IF(T14&lt;&gt;"",T14,S14))</f>
        <v/>
      </c>
      <c r="V14" s="14" t="n"/>
      <c r="W14" s="18" t="n"/>
      <c r="X14" s="17">
        <f>IF(A14="","",IF(P14="","Score all six behaviors.",IF(R14&gt;0,"Write the evidence. A blank evidence cell is a reputation score.",IF(U14="Ready","Scale now, and scale loudly.",IF(U14="Not yet","Hold at pilot scope until the gap closes. Name what closes it.",IF(V14="","Name a coach.",IF(W14="","Set a date.","Scale with support. Review on the date.")))))))</f>
        <v/>
      </c>
      <c r="Y14" s="14" t="inlineStr">
        <is>
          <t>Team of 25 and no written standard. Contain at pilot scope; start with the standard.</t>
        </is>
      </c>
    </row>
    <row r="15">
      <c r="A15" s="14" t="n"/>
      <c r="B15" s="14" t="n"/>
      <c r="C15" s="15" t="n"/>
      <c r="D15" s="15" t="n"/>
      <c r="E15" s="14" t="n"/>
      <c r="F15" s="15" t="n"/>
      <c r="G15" s="14" t="n"/>
      <c r="H15" s="15" t="n"/>
      <c r="I15" s="14" t="n"/>
      <c r="J15" s="15" t="n"/>
      <c r="K15" s="14" t="n"/>
      <c r="L15" s="15" t="n"/>
      <c r="M15" s="14" t="n"/>
      <c r="N15" s="15" t="n"/>
      <c r="O15" s="14" t="n"/>
      <c r="P15" s="16">
        <f>IF(A15="","",IF(COUNTA(D15)+COUNTA(F15)+COUNTA(H15)+COUNTA(J15)+COUNTA(L15)+COUNTA(N15)&lt;6,"",IF(D15="Yes",1,IF(D15="Sometimes",0.5,0))+IF(F15="Yes",1,IF(F15="Sometimes",0.5,0))+IF(H15="Yes",1,IF(H15="Sometimes",0.5,0))+IF(J15="Yes",1,IF(J15="Sometimes",0.5,0))+IF(L15="Yes",1,IF(L15="Sometimes",0.5,0))+IF(N15="Yes",1,IF(N15="Sometimes",0.5,0))))</f>
        <v/>
      </c>
      <c r="Q15" s="16">
        <f>IF(P15="","",IF(D15="No",1,0)+IF(F15="No",1,0)+IF(H15="No",1,0)+IF(J15="No",1,0)+IF(L15="No",1,0)+IF(N15="No",1,0))</f>
        <v/>
      </c>
      <c r="R15" s="16">
        <f>IF(A15="","",6-COUNTA(E15)-COUNTA(G15)-COUNTA(I15)-COUNTA(K15)-COUNTA(M15)-COUNTA(O15))</f>
        <v/>
      </c>
      <c r="S15" s="17">
        <f>IF(P15="","",IF(OR(P15&lt;3.5,Q15&gt;=2),"Not yet",IF(AND(P15&gt;=5,Q15=0),"Ready","Ready with support")))</f>
        <v/>
      </c>
      <c r="T15" s="14" t="n"/>
      <c r="U15" s="17">
        <f>IF(A15="","",IF(T15&lt;&gt;"",T15,S15))</f>
        <v/>
      </c>
      <c r="V15" s="14" t="n"/>
      <c r="W15" s="18" t="n"/>
      <c r="X15" s="17">
        <f>IF(A15="","",IF(P15="","Score all six behaviors.",IF(R15&gt;0,"Write the evidence. A blank evidence cell is a reputation score.",IF(U15="Ready","Scale now, and scale loudly.",IF(U15="Not yet","Hold at pilot scope until the gap closes. Name what closes it.",IF(V15="","Name a coach.",IF(W15="","Set a date.","Scale with support. Review on the date.")))))))</f>
        <v/>
      </c>
      <c r="Y15" s="14" t="n"/>
    </row>
    <row r="16">
      <c r="A16" s="14" t="n"/>
      <c r="B16" s="14" t="n"/>
      <c r="C16" s="15" t="n"/>
      <c r="D16" s="15" t="n"/>
      <c r="E16" s="14" t="n"/>
      <c r="F16" s="15" t="n"/>
      <c r="G16" s="14" t="n"/>
      <c r="H16" s="15" t="n"/>
      <c r="I16" s="14" t="n"/>
      <c r="J16" s="15" t="n"/>
      <c r="K16" s="14" t="n"/>
      <c r="L16" s="15" t="n"/>
      <c r="M16" s="14" t="n"/>
      <c r="N16" s="15" t="n"/>
      <c r="O16" s="14" t="n"/>
      <c r="P16" s="16">
        <f>IF(A16="","",IF(COUNTA(D16)+COUNTA(F16)+COUNTA(H16)+COUNTA(J16)+COUNTA(L16)+COUNTA(N16)&lt;6,"",IF(D16="Yes",1,IF(D16="Sometimes",0.5,0))+IF(F16="Yes",1,IF(F16="Sometimes",0.5,0))+IF(H16="Yes",1,IF(H16="Sometimes",0.5,0))+IF(J16="Yes",1,IF(J16="Sometimes",0.5,0))+IF(L16="Yes",1,IF(L16="Sometimes",0.5,0))+IF(N16="Yes",1,IF(N16="Sometimes",0.5,0))))</f>
        <v/>
      </c>
      <c r="Q16" s="16">
        <f>IF(P16="","",IF(D16="No",1,0)+IF(F16="No",1,0)+IF(H16="No",1,0)+IF(J16="No",1,0)+IF(L16="No",1,0)+IF(N16="No",1,0))</f>
        <v/>
      </c>
      <c r="R16" s="16">
        <f>IF(A16="","",6-COUNTA(E16)-COUNTA(G16)-COUNTA(I16)-COUNTA(K16)-COUNTA(M16)-COUNTA(O16))</f>
        <v/>
      </c>
      <c r="S16" s="17">
        <f>IF(P16="","",IF(OR(P16&lt;3.5,Q16&gt;=2),"Not yet",IF(AND(P16&gt;=5,Q16=0),"Ready","Ready with support")))</f>
        <v/>
      </c>
      <c r="T16" s="14" t="n"/>
      <c r="U16" s="17">
        <f>IF(A16="","",IF(T16&lt;&gt;"",T16,S16))</f>
        <v/>
      </c>
      <c r="V16" s="14" t="n"/>
      <c r="W16" s="18" t="n"/>
      <c r="X16" s="17">
        <f>IF(A16="","",IF(P16="","Score all six behaviors.",IF(R16&gt;0,"Write the evidence. A blank evidence cell is a reputation score.",IF(U16="Ready","Scale now, and scale loudly.",IF(U16="Not yet","Hold at pilot scope until the gap closes. Name what closes it.",IF(V16="","Name a coach.",IF(W16="","Set a date.","Scale with support. Review on the date.")))))))</f>
        <v/>
      </c>
      <c r="Y16" s="14" t="n"/>
    </row>
    <row r="17">
      <c r="A17" s="14" t="n"/>
      <c r="B17" s="14" t="n"/>
      <c r="C17" s="15" t="n"/>
      <c r="D17" s="15" t="n"/>
      <c r="E17" s="14" t="n"/>
      <c r="F17" s="15" t="n"/>
      <c r="G17" s="14" t="n"/>
      <c r="H17" s="15" t="n"/>
      <c r="I17" s="14" t="n"/>
      <c r="J17" s="15" t="n"/>
      <c r="K17" s="14" t="n"/>
      <c r="L17" s="15" t="n"/>
      <c r="M17" s="14" t="n"/>
      <c r="N17" s="15" t="n"/>
      <c r="O17" s="14" t="n"/>
      <c r="P17" s="16">
        <f>IF(A17="","",IF(COUNTA(D17)+COUNTA(F17)+COUNTA(H17)+COUNTA(J17)+COUNTA(L17)+COUNTA(N17)&lt;6,"",IF(D17="Yes",1,IF(D17="Sometimes",0.5,0))+IF(F17="Yes",1,IF(F17="Sometimes",0.5,0))+IF(H17="Yes",1,IF(H17="Sometimes",0.5,0))+IF(J17="Yes",1,IF(J17="Sometimes",0.5,0))+IF(L17="Yes",1,IF(L17="Sometimes",0.5,0))+IF(N17="Yes",1,IF(N17="Sometimes",0.5,0))))</f>
        <v/>
      </c>
      <c r="Q17" s="16">
        <f>IF(P17="","",IF(D17="No",1,0)+IF(F17="No",1,0)+IF(H17="No",1,0)+IF(J17="No",1,0)+IF(L17="No",1,0)+IF(N17="No",1,0))</f>
        <v/>
      </c>
      <c r="R17" s="16">
        <f>IF(A17="","",6-COUNTA(E17)-COUNTA(G17)-COUNTA(I17)-COUNTA(K17)-COUNTA(M17)-COUNTA(O17))</f>
        <v/>
      </c>
      <c r="S17" s="17">
        <f>IF(P17="","",IF(OR(P17&lt;3.5,Q17&gt;=2),"Not yet",IF(AND(P17&gt;=5,Q17=0),"Ready","Ready with support")))</f>
        <v/>
      </c>
      <c r="T17" s="14" t="n"/>
      <c r="U17" s="17">
        <f>IF(A17="","",IF(T17&lt;&gt;"",T17,S17))</f>
        <v/>
      </c>
      <c r="V17" s="14" t="n"/>
      <c r="W17" s="18" t="n"/>
      <c r="X17" s="17">
        <f>IF(A17="","",IF(P17="","Score all six behaviors.",IF(R17&gt;0,"Write the evidence. A blank evidence cell is a reputation score.",IF(U17="Ready","Scale now, and scale loudly.",IF(U17="Not yet","Hold at pilot scope until the gap closes. Name what closes it.",IF(V17="","Name a coach.",IF(W17="","Set a date.","Scale with support. Review on the date.")))))))</f>
        <v/>
      </c>
      <c r="Y17" s="14" t="n"/>
    </row>
    <row r="18">
      <c r="A18" s="14" t="n"/>
      <c r="B18" s="14" t="n"/>
      <c r="C18" s="15" t="n"/>
      <c r="D18" s="15" t="n"/>
      <c r="E18" s="14" t="n"/>
      <c r="F18" s="15" t="n"/>
      <c r="G18" s="14" t="n"/>
      <c r="H18" s="15" t="n"/>
      <c r="I18" s="14" t="n"/>
      <c r="J18" s="15" t="n"/>
      <c r="K18" s="14" t="n"/>
      <c r="L18" s="15" t="n"/>
      <c r="M18" s="14" t="n"/>
      <c r="N18" s="15" t="n"/>
      <c r="O18" s="14" t="n"/>
      <c r="P18" s="16">
        <f>IF(A18="","",IF(COUNTA(D18)+COUNTA(F18)+COUNTA(H18)+COUNTA(J18)+COUNTA(L18)+COUNTA(N18)&lt;6,"",IF(D18="Yes",1,IF(D18="Sometimes",0.5,0))+IF(F18="Yes",1,IF(F18="Sometimes",0.5,0))+IF(H18="Yes",1,IF(H18="Sometimes",0.5,0))+IF(J18="Yes",1,IF(J18="Sometimes",0.5,0))+IF(L18="Yes",1,IF(L18="Sometimes",0.5,0))+IF(N18="Yes",1,IF(N18="Sometimes",0.5,0))))</f>
        <v/>
      </c>
      <c r="Q18" s="16">
        <f>IF(P18="","",IF(D18="No",1,0)+IF(F18="No",1,0)+IF(H18="No",1,0)+IF(J18="No",1,0)+IF(L18="No",1,0)+IF(N18="No",1,0))</f>
        <v/>
      </c>
      <c r="R18" s="16">
        <f>IF(A18="","",6-COUNTA(E18)-COUNTA(G18)-COUNTA(I18)-COUNTA(K18)-COUNTA(M18)-COUNTA(O18))</f>
        <v/>
      </c>
      <c r="S18" s="17">
        <f>IF(P18="","",IF(OR(P18&lt;3.5,Q18&gt;=2),"Not yet",IF(AND(P18&gt;=5,Q18=0),"Ready","Ready with support")))</f>
        <v/>
      </c>
      <c r="T18" s="14" t="n"/>
      <c r="U18" s="17">
        <f>IF(A18="","",IF(T18&lt;&gt;"",T18,S18))</f>
        <v/>
      </c>
      <c r="V18" s="14" t="n"/>
      <c r="W18" s="18" t="n"/>
      <c r="X18" s="17">
        <f>IF(A18="","",IF(P18="","Score all six behaviors.",IF(R18&gt;0,"Write the evidence. A blank evidence cell is a reputation score.",IF(U18="Ready","Scale now, and scale loudly.",IF(U18="Not yet","Hold at pilot scope until the gap closes. Name what closes it.",IF(V18="","Name a coach.",IF(W18="","Set a date.","Scale with support. Review on the date.")))))))</f>
        <v/>
      </c>
      <c r="Y18" s="14" t="n"/>
    </row>
    <row r="19">
      <c r="A19" s="14" t="n"/>
      <c r="B19" s="14" t="n"/>
      <c r="C19" s="15" t="n"/>
      <c r="D19" s="15" t="n"/>
      <c r="E19" s="14" t="n"/>
      <c r="F19" s="15" t="n"/>
      <c r="G19" s="14" t="n"/>
      <c r="H19" s="15" t="n"/>
      <c r="I19" s="14" t="n"/>
      <c r="J19" s="15" t="n"/>
      <c r="K19" s="14" t="n"/>
      <c r="L19" s="15" t="n"/>
      <c r="M19" s="14" t="n"/>
      <c r="N19" s="15" t="n"/>
      <c r="O19" s="14" t="n"/>
      <c r="P19" s="16">
        <f>IF(A19="","",IF(COUNTA(D19)+COUNTA(F19)+COUNTA(H19)+COUNTA(J19)+COUNTA(L19)+COUNTA(N19)&lt;6,"",IF(D19="Yes",1,IF(D19="Sometimes",0.5,0))+IF(F19="Yes",1,IF(F19="Sometimes",0.5,0))+IF(H19="Yes",1,IF(H19="Sometimes",0.5,0))+IF(J19="Yes",1,IF(J19="Sometimes",0.5,0))+IF(L19="Yes",1,IF(L19="Sometimes",0.5,0))+IF(N19="Yes",1,IF(N19="Sometimes",0.5,0))))</f>
        <v/>
      </c>
      <c r="Q19" s="16">
        <f>IF(P19="","",IF(D19="No",1,0)+IF(F19="No",1,0)+IF(H19="No",1,0)+IF(J19="No",1,0)+IF(L19="No",1,0)+IF(N19="No",1,0))</f>
        <v/>
      </c>
      <c r="R19" s="16">
        <f>IF(A19="","",6-COUNTA(E19)-COUNTA(G19)-COUNTA(I19)-COUNTA(K19)-COUNTA(M19)-COUNTA(O19))</f>
        <v/>
      </c>
      <c r="S19" s="17">
        <f>IF(P19="","",IF(OR(P19&lt;3.5,Q19&gt;=2),"Not yet",IF(AND(P19&gt;=5,Q19=0),"Ready","Ready with support")))</f>
        <v/>
      </c>
      <c r="T19" s="14" t="n"/>
      <c r="U19" s="17">
        <f>IF(A19="","",IF(T19&lt;&gt;"",T19,S19))</f>
        <v/>
      </c>
      <c r="V19" s="14" t="n"/>
      <c r="W19" s="18" t="n"/>
      <c r="X19" s="17">
        <f>IF(A19="","",IF(P19="","Score all six behaviors.",IF(R19&gt;0,"Write the evidence. A blank evidence cell is a reputation score.",IF(U19="Ready","Scale now, and scale loudly.",IF(U19="Not yet","Hold at pilot scope until the gap closes. Name what closes it.",IF(V19="","Name a coach.",IF(W19="","Set a date.","Scale with support. Review on the date.")))))))</f>
        <v/>
      </c>
      <c r="Y19" s="14" t="n"/>
    </row>
    <row r="20">
      <c r="A20" s="14" t="n"/>
      <c r="B20" s="14" t="n"/>
      <c r="C20" s="15" t="n"/>
      <c r="D20" s="15" t="n"/>
      <c r="E20" s="14" t="n"/>
      <c r="F20" s="15" t="n"/>
      <c r="G20" s="14" t="n"/>
      <c r="H20" s="15" t="n"/>
      <c r="I20" s="14" t="n"/>
      <c r="J20" s="15" t="n"/>
      <c r="K20" s="14" t="n"/>
      <c r="L20" s="15" t="n"/>
      <c r="M20" s="14" t="n"/>
      <c r="N20" s="15" t="n"/>
      <c r="O20" s="14" t="n"/>
      <c r="P20" s="16">
        <f>IF(A20="","",IF(COUNTA(D20)+COUNTA(F20)+COUNTA(H20)+COUNTA(J20)+COUNTA(L20)+COUNTA(N20)&lt;6,"",IF(D20="Yes",1,IF(D20="Sometimes",0.5,0))+IF(F20="Yes",1,IF(F20="Sometimes",0.5,0))+IF(H20="Yes",1,IF(H20="Sometimes",0.5,0))+IF(J20="Yes",1,IF(J20="Sometimes",0.5,0))+IF(L20="Yes",1,IF(L20="Sometimes",0.5,0))+IF(N20="Yes",1,IF(N20="Sometimes",0.5,0))))</f>
        <v/>
      </c>
      <c r="Q20" s="16">
        <f>IF(P20="","",IF(D20="No",1,0)+IF(F20="No",1,0)+IF(H20="No",1,0)+IF(J20="No",1,0)+IF(L20="No",1,0)+IF(N20="No",1,0))</f>
        <v/>
      </c>
      <c r="R20" s="16">
        <f>IF(A20="","",6-COUNTA(E20)-COUNTA(G20)-COUNTA(I20)-COUNTA(K20)-COUNTA(M20)-COUNTA(O20))</f>
        <v/>
      </c>
      <c r="S20" s="17">
        <f>IF(P20="","",IF(OR(P20&lt;3.5,Q20&gt;=2),"Not yet",IF(AND(P20&gt;=5,Q20=0),"Ready","Ready with support")))</f>
        <v/>
      </c>
      <c r="T20" s="14" t="n"/>
      <c r="U20" s="17">
        <f>IF(A20="","",IF(T20&lt;&gt;"",T20,S20))</f>
        <v/>
      </c>
      <c r="V20" s="14" t="n"/>
      <c r="W20" s="18" t="n"/>
      <c r="X20" s="17">
        <f>IF(A20="","",IF(P20="","Score all six behaviors.",IF(R20&gt;0,"Write the evidence. A blank evidence cell is a reputation score.",IF(U20="Ready","Scale now, and scale loudly.",IF(U20="Not yet","Hold at pilot scope until the gap closes. Name what closes it.",IF(V20="","Name a coach.",IF(W20="","Set a date.","Scale with support. Review on the date.")))))))</f>
        <v/>
      </c>
      <c r="Y20" s="14" t="n"/>
    </row>
    <row r="21">
      <c r="A21" s="14" t="n"/>
      <c r="B21" s="14" t="n"/>
      <c r="C21" s="15" t="n"/>
      <c r="D21" s="15" t="n"/>
      <c r="E21" s="14" t="n"/>
      <c r="F21" s="15" t="n"/>
      <c r="G21" s="14" t="n"/>
      <c r="H21" s="15" t="n"/>
      <c r="I21" s="14" t="n"/>
      <c r="J21" s="15" t="n"/>
      <c r="K21" s="14" t="n"/>
      <c r="L21" s="15" t="n"/>
      <c r="M21" s="14" t="n"/>
      <c r="N21" s="15" t="n"/>
      <c r="O21" s="14" t="n"/>
      <c r="P21" s="16">
        <f>IF(A21="","",IF(COUNTA(D21)+COUNTA(F21)+COUNTA(H21)+COUNTA(J21)+COUNTA(L21)+COUNTA(N21)&lt;6,"",IF(D21="Yes",1,IF(D21="Sometimes",0.5,0))+IF(F21="Yes",1,IF(F21="Sometimes",0.5,0))+IF(H21="Yes",1,IF(H21="Sometimes",0.5,0))+IF(J21="Yes",1,IF(J21="Sometimes",0.5,0))+IF(L21="Yes",1,IF(L21="Sometimes",0.5,0))+IF(N21="Yes",1,IF(N21="Sometimes",0.5,0))))</f>
        <v/>
      </c>
      <c r="Q21" s="16">
        <f>IF(P21="","",IF(D21="No",1,0)+IF(F21="No",1,0)+IF(H21="No",1,0)+IF(J21="No",1,0)+IF(L21="No",1,0)+IF(N21="No",1,0))</f>
        <v/>
      </c>
      <c r="R21" s="16">
        <f>IF(A21="","",6-COUNTA(E21)-COUNTA(G21)-COUNTA(I21)-COUNTA(K21)-COUNTA(M21)-COUNTA(O21))</f>
        <v/>
      </c>
      <c r="S21" s="17">
        <f>IF(P21="","",IF(OR(P21&lt;3.5,Q21&gt;=2),"Not yet",IF(AND(P21&gt;=5,Q21=0),"Ready","Ready with support")))</f>
        <v/>
      </c>
      <c r="T21" s="14" t="n"/>
      <c r="U21" s="17">
        <f>IF(A21="","",IF(T21&lt;&gt;"",T21,S21))</f>
        <v/>
      </c>
      <c r="V21" s="14" t="n"/>
      <c r="W21" s="18" t="n"/>
      <c r="X21" s="17">
        <f>IF(A21="","",IF(P21="","Score all six behaviors.",IF(R21&gt;0,"Write the evidence. A blank evidence cell is a reputation score.",IF(U21="Ready","Scale now, and scale loudly.",IF(U21="Not yet","Hold at pilot scope until the gap closes. Name what closes it.",IF(V21="","Name a coach.",IF(W21="","Set a date.","Scale with support. Review on the date.")))))))</f>
        <v/>
      </c>
      <c r="Y21" s="14" t="n"/>
    </row>
    <row r="22">
      <c r="A22" s="14" t="n"/>
      <c r="B22" s="14" t="n"/>
      <c r="C22" s="15" t="n"/>
      <c r="D22" s="15" t="n"/>
      <c r="E22" s="14" t="n"/>
      <c r="F22" s="15" t="n"/>
      <c r="G22" s="14" t="n"/>
      <c r="H22" s="15" t="n"/>
      <c r="I22" s="14" t="n"/>
      <c r="J22" s="15" t="n"/>
      <c r="K22" s="14" t="n"/>
      <c r="L22" s="15" t="n"/>
      <c r="M22" s="14" t="n"/>
      <c r="N22" s="15" t="n"/>
      <c r="O22" s="14" t="n"/>
      <c r="P22" s="16">
        <f>IF(A22="","",IF(COUNTA(D22)+COUNTA(F22)+COUNTA(H22)+COUNTA(J22)+COUNTA(L22)+COUNTA(N22)&lt;6,"",IF(D22="Yes",1,IF(D22="Sometimes",0.5,0))+IF(F22="Yes",1,IF(F22="Sometimes",0.5,0))+IF(H22="Yes",1,IF(H22="Sometimes",0.5,0))+IF(J22="Yes",1,IF(J22="Sometimes",0.5,0))+IF(L22="Yes",1,IF(L22="Sometimes",0.5,0))+IF(N22="Yes",1,IF(N22="Sometimes",0.5,0))))</f>
        <v/>
      </c>
      <c r="Q22" s="16">
        <f>IF(P22="","",IF(D22="No",1,0)+IF(F22="No",1,0)+IF(H22="No",1,0)+IF(J22="No",1,0)+IF(L22="No",1,0)+IF(N22="No",1,0))</f>
        <v/>
      </c>
      <c r="R22" s="16">
        <f>IF(A22="","",6-COUNTA(E22)-COUNTA(G22)-COUNTA(I22)-COUNTA(K22)-COUNTA(M22)-COUNTA(O22))</f>
        <v/>
      </c>
      <c r="S22" s="17">
        <f>IF(P22="","",IF(OR(P22&lt;3.5,Q22&gt;=2),"Not yet",IF(AND(P22&gt;=5,Q22=0),"Ready","Ready with support")))</f>
        <v/>
      </c>
      <c r="T22" s="14" t="n"/>
      <c r="U22" s="17">
        <f>IF(A22="","",IF(T22&lt;&gt;"",T22,S22))</f>
        <v/>
      </c>
      <c r="V22" s="14" t="n"/>
      <c r="W22" s="18" t="n"/>
      <c r="X22" s="17">
        <f>IF(A22="","",IF(P22="","Score all six behaviors.",IF(R22&gt;0,"Write the evidence. A blank evidence cell is a reputation score.",IF(U22="Ready","Scale now, and scale loudly.",IF(U22="Not yet","Hold at pilot scope until the gap closes. Name what closes it.",IF(V22="","Name a coach.",IF(W22="","Set a date.","Scale with support. Review on the date.")))))))</f>
        <v/>
      </c>
      <c r="Y22" s="14" t="n"/>
    </row>
    <row r="23">
      <c r="A23" s="14" t="n"/>
      <c r="B23" s="14" t="n"/>
      <c r="C23" s="15" t="n"/>
      <c r="D23" s="15" t="n"/>
      <c r="E23" s="14" t="n"/>
      <c r="F23" s="15" t="n"/>
      <c r="G23" s="14" t="n"/>
      <c r="H23" s="15" t="n"/>
      <c r="I23" s="14" t="n"/>
      <c r="J23" s="15" t="n"/>
      <c r="K23" s="14" t="n"/>
      <c r="L23" s="15" t="n"/>
      <c r="M23" s="14" t="n"/>
      <c r="N23" s="15" t="n"/>
      <c r="O23" s="14" t="n"/>
      <c r="P23" s="16">
        <f>IF(A23="","",IF(COUNTA(D23)+COUNTA(F23)+COUNTA(H23)+COUNTA(J23)+COUNTA(L23)+COUNTA(N23)&lt;6,"",IF(D23="Yes",1,IF(D23="Sometimes",0.5,0))+IF(F23="Yes",1,IF(F23="Sometimes",0.5,0))+IF(H23="Yes",1,IF(H23="Sometimes",0.5,0))+IF(J23="Yes",1,IF(J23="Sometimes",0.5,0))+IF(L23="Yes",1,IF(L23="Sometimes",0.5,0))+IF(N23="Yes",1,IF(N23="Sometimes",0.5,0))))</f>
        <v/>
      </c>
      <c r="Q23" s="16">
        <f>IF(P23="","",IF(D23="No",1,0)+IF(F23="No",1,0)+IF(H23="No",1,0)+IF(J23="No",1,0)+IF(L23="No",1,0)+IF(N23="No",1,0))</f>
        <v/>
      </c>
      <c r="R23" s="16">
        <f>IF(A23="","",6-COUNTA(E23)-COUNTA(G23)-COUNTA(I23)-COUNTA(K23)-COUNTA(M23)-COUNTA(O23))</f>
        <v/>
      </c>
      <c r="S23" s="17">
        <f>IF(P23="","",IF(OR(P23&lt;3.5,Q23&gt;=2),"Not yet",IF(AND(P23&gt;=5,Q23=0),"Ready","Ready with support")))</f>
        <v/>
      </c>
      <c r="T23" s="14" t="n"/>
      <c r="U23" s="17">
        <f>IF(A23="","",IF(T23&lt;&gt;"",T23,S23))</f>
        <v/>
      </c>
      <c r="V23" s="14" t="n"/>
      <c r="W23" s="18" t="n"/>
      <c r="X23" s="17">
        <f>IF(A23="","",IF(P23="","Score all six behaviors.",IF(R23&gt;0,"Write the evidence. A blank evidence cell is a reputation score.",IF(U23="Ready","Scale now, and scale loudly.",IF(U23="Not yet","Hold at pilot scope until the gap closes. Name what closes it.",IF(V23="","Name a coach.",IF(W23="","Set a date.","Scale with support. Review on the date.")))))))</f>
        <v/>
      </c>
      <c r="Y23" s="14" t="n"/>
    </row>
    <row r="24">
      <c r="A24" s="14" t="n"/>
      <c r="B24" s="14" t="n"/>
      <c r="C24" s="15" t="n"/>
      <c r="D24" s="15" t="n"/>
      <c r="E24" s="14" t="n"/>
      <c r="F24" s="15" t="n"/>
      <c r="G24" s="14" t="n"/>
      <c r="H24" s="15" t="n"/>
      <c r="I24" s="14" t="n"/>
      <c r="J24" s="15" t="n"/>
      <c r="K24" s="14" t="n"/>
      <c r="L24" s="15" t="n"/>
      <c r="M24" s="14" t="n"/>
      <c r="N24" s="15" t="n"/>
      <c r="O24" s="14" t="n"/>
      <c r="P24" s="16">
        <f>IF(A24="","",IF(COUNTA(D24)+COUNTA(F24)+COUNTA(H24)+COUNTA(J24)+COUNTA(L24)+COUNTA(N24)&lt;6,"",IF(D24="Yes",1,IF(D24="Sometimes",0.5,0))+IF(F24="Yes",1,IF(F24="Sometimes",0.5,0))+IF(H24="Yes",1,IF(H24="Sometimes",0.5,0))+IF(J24="Yes",1,IF(J24="Sometimes",0.5,0))+IF(L24="Yes",1,IF(L24="Sometimes",0.5,0))+IF(N24="Yes",1,IF(N24="Sometimes",0.5,0))))</f>
        <v/>
      </c>
      <c r="Q24" s="16">
        <f>IF(P24="","",IF(D24="No",1,0)+IF(F24="No",1,0)+IF(H24="No",1,0)+IF(J24="No",1,0)+IF(L24="No",1,0)+IF(N24="No",1,0))</f>
        <v/>
      </c>
      <c r="R24" s="16">
        <f>IF(A24="","",6-COUNTA(E24)-COUNTA(G24)-COUNTA(I24)-COUNTA(K24)-COUNTA(M24)-COUNTA(O24))</f>
        <v/>
      </c>
      <c r="S24" s="17">
        <f>IF(P24="","",IF(OR(P24&lt;3.5,Q24&gt;=2),"Not yet",IF(AND(P24&gt;=5,Q24=0),"Ready","Ready with support")))</f>
        <v/>
      </c>
      <c r="T24" s="14" t="n"/>
      <c r="U24" s="17">
        <f>IF(A24="","",IF(T24&lt;&gt;"",T24,S24))</f>
        <v/>
      </c>
      <c r="V24" s="14" t="n"/>
      <c r="W24" s="18" t="n"/>
      <c r="X24" s="17">
        <f>IF(A24="","",IF(P24="","Score all six behaviors.",IF(R24&gt;0,"Write the evidence. A blank evidence cell is a reputation score.",IF(U24="Ready","Scale now, and scale loudly.",IF(U24="Not yet","Hold at pilot scope until the gap closes. Name what closes it.",IF(V24="","Name a coach.",IF(W24="","Set a date.","Scale with support. Review on the date.")))))))</f>
        <v/>
      </c>
      <c r="Y24" s="14" t="n"/>
    </row>
    <row r="25">
      <c r="A25" s="14" t="n"/>
      <c r="B25" s="14" t="n"/>
      <c r="C25" s="15" t="n"/>
      <c r="D25" s="15" t="n"/>
      <c r="E25" s="14" t="n"/>
      <c r="F25" s="15" t="n"/>
      <c r="G25" s="14" t="n"/>
      <c r="H25" s="15" t="n"/>
      <c r="I25" s="14" t="n"/>
      <c r="J25" s="15" t="n"/>
      <c r="K25" s="14" t="n"/>
      <c r="L25" s="15" t="n"/>
      <c r="M25" s="14" t="n"/>
      <c r="N25" s="15" t="n"/>
      <c r="O25" s="14" t="n"/>
      <c r="P25" s="16">
        <f>IF(A25="","",IF(COUNTA(D25)+COUNTA(F25)+COUNTA(H25)+COUNTA(J25)+COUNTA(L25)+COUNTA(N25)&lt;6,"",IF(D25="Yes",1,IF(D25="Sometimes",0.5,0))+IF(F25="Yes",1,IF(F25="Sometimes",0.5,0))+IF(H25="Yes",1,IF(H25="Sometimes",0.5,0))+IF(J25="Yes",1,IF(J25="Sometimes",0.5,0))+IF(L25="Yes",1,IF(L25="Sometimes",0.5,0))+IF(N25="Yes",1,IF(N25="Sometimes",0.5,0))))</f>
        <v/>
      </c>
      <c r="Q25" s="16">
        <f>IF(P25="","",IF(D25="No",1,0)+IF(F25="No",1,0)+IF(H25="No",1,0)+IF(J25="No",1,0)+IF(L25="No",1,0)+IF(N25="No",1,0))</f>
        <v/>
      </c>
      <c r="R25" s="16">
        <f>IF(A25="","",6-COUNTA(E25)-COUNTA(G25)-COUNTA(I25)-COUNTA(K25)-COUNTA(M25)-COUNTA(O25))</f>
        <v/>
      </c>
      <c r="S25" s="17">
        <f>IF(P25="","",IF(OR(P25&lt;3.5,Q25&gt;=2),"Not yet",IF(AND(P25&gt;=5,Q25=0),"Ready","Ready with support")))</f>
        <v/>
      </c>
      <c r="T25" s="14" t="n"/>
      <c r="U25" s="17">
        <f>IF(A25="","",IF(T25&lt;&gt;"",T25,S25))</f>
        <v/>
      </c>
      <c r="V25" s="14" t="n"/>
      <c r="W25" s="18" t="n"/>
      <c r="X25" s="17">
        <f>IF(A25="","",IF(P25="","Score all six behaviors.",IF(R25&gt;0,"Write the evidence. A blank evidence cell is a reputation score.",IF(U25="Ready","Scale now, and scale loudly.",IF(U25="Not yet","Hold at pilot scope until the gap closes. Name what closes it.",IF(V25="","Name a coach.",IF(W25="","Set a date.","Scale with support. Review on the date.")))))))</f>
        <v/>
      </c>
      <c r="Y25" s="14" t="n"/>
    </row>
    <row r="26">
      <c r="A26" s="14" t="n"/>
      <c r="B26" s="14" t="n"/>
      <c r="C26" s="15" t="n"/>
      <c r="D26" s="15" t="n"/>
      <c r="E26" s="14" t="n"/>
      <c r="F26" s="15" t="n"/>
      <c r="G26" s="14" t="n"/>
      <c r="H26" s="15" t="n"/>
      <c r="I26" s="14" t="n"/>
      <c r="J26" s="15" t="n"/>
      <c r="K26" s="14" t="n"/>
      <c r="L26" s="15" t="n"/>
      <c r="M26" s="14" t="n"/>
      <c r="N26" s="15" t="n"/>
      <c r="O26" s="14" t="n"/>
      <c r="P26" s="16">
        <f>IF(A26="","",IF(COUNTA(D26)+COUNTA(F26)+COUNTA(H26)+COUNTA(J26)+COUNTA(L26)+COUNTA(N26)&lt;6,"",IF(D26="Yes",1,IF(D26="Sometimes",0.5,0))+IF(F26="Yes",1,IF(F26="Sometimes",0.5,0))+IF(H26="Yes",1,IF(H26="Sometimes",0.5,0))+IF(J26="Yes",1,IF(J26="Sometimes",0.5,0))+IF(L26="Yes",1,IF(L26="Sometimes",0.5,0))+IF(N26="Yes",1,IF(N26="Sometimes",0.5,0))))</f>
        <v/>
      </c>
      <c r="Q26" s="16">
        <f>IF(P26="","",IF(D26="No",1,0)+IF(F26="No",1,0)+IF(H26="No",1,0)+IF(J26="No",1,0)+IF(L26="No",1,0)+IF(N26="No",1,0))</f>
        <v/>
      </c>
      <c r="R26" s="16">
        <f>IF(A26="","",6-COUNTA(E26)-COUNTA(G26)-COUNTA(I26)-COUNTA(K26)-COUNTA(M26)-COUNTA(O26))</f>
        <v/>
      </c>
      <c r="S26" s="17">
        <f>IF(P26="","",IF(OR(P26&lt;3.5,Q26&gt;=2),"Not yet",IF(AND(P26&gt;=5,Q26=0),"Ready","Ready with support")))</f>
        <v/>
      </c>
      <c r="T26" s="14" t="n"/>
      <c r="U26" s="17">
        <f>IF(A26="","",IF(T26&lt;&gt;"",T26,S26))</f>
        <v/>
      </c>
      <c r="V26" s="14" t="n"/>
      <c r="W26" s="18" t="n"/>
      <c r="X26" s="17">
        <f>IF(A26="","",IF(P26="","Score all six behaviors.",IF(R26&gt;0,"Write the evidence. A blank evidence cell is a reputation score.",IF(U26="Ready","Scale now, and scale loudly.",IF(U26="Not yet","Hold at pilot scope until the gap closes. Name what closes it.",IF(V26="","Name a coach.",IF(W26="","Set a date.","Scale with support. Review on the date.")))))))</f>
        <v/>
      </c>
      <c r="Y26" s="14" t="n"/>
    </row>
    <row r="27">
      <c r="A27" s="14" t="n"/>
      <c r="B27" s="14" t="n"/>
      <c r="C27" s="15" t="n"/>
      <c r="D27" s="15" t="n"/>
      <c r="E27" s="14" t="n"/>
      <c r="F27" s="15" t="n"/>
      <c r="G27" s="14" t="n"/>
      <c r="H27" s="15" t="n"/>
      <c r="I27" s="14" t="n"/>
      <c r="J27" s="15" t="n"/>
      <c r="K27" s="14" t="n"/>
      <c r="L27" s="15" t="n"/>
      <c r="M27" s="14" t="n"/>
      <c r="N27" s="15" t="n"/>
      <c r="O27" s="14" t="n"/>
      <c r="P27" s="16">
        <f>IF(A27="","",IF(COUNTA(D27)+COUNTA(F27)+COUNTA(H27)+COUNTA(J27)+COUNTA(L27)+COUNTA(N27)&lt;6,"",IF(D27="Yes",1,IF(D27="Sometimes",0.5,0))+IF(F27="Yes",1,IF(F27="Sometimes",0.5,0))+IF(H27="Yes",1,IF(H27="Sometimes",0.5,0))+IF(J27="Yes",1,IF(J27="Sometimes",0.5,0))+IF(L27="Yes",1,IF(L27="Sometimes",0.5,0))+IF(N27="Yes",1,IF(N27="Sometimes",0.5,0))))</f>
        <v/>
      </c>
      <c r="Q27" s="16">
        <f>IF(P27="","",IF(D27="No",1,0)+IF(F27="No",1,0)+IF(H27="No",1,0)+IF(J27="No",1,0)+IF(L27="No",1,0)+IF(N27="No",1,0))</f>
        <v/>
      </c>
      <c r="R27" s="16">
        <f>IF(A27="","",6-COUNTA(E27)-COUNTA(G27)-COUNTA(I27)-COUNTA(K27)-COUNTA(M27)-COUNTA(O27))</f>
        <v/>
      </c>
      <c r="S27" s="17">
        <f>IF(P27="","",IF(OR(P27&lt;3.5,Q27&gt;=2),"Not yet",IF(AND(P27&gt;=5,Q27=0),"Ready","Ready with support")))</f>
        <v/>
      </c>
      <c r="T27" s="14" t="n"/>
      <c r="U27" s="17">
        <f>IF(A27="","",IF(T27&lt;&gt;"",T27,S27))</f>
        <v/>
      </c>
      <c r="V27" s="14" t="n"/>
      <c r="W27" s="18" t="n"/>
      <c r="X27" s="17">
        <f>IF(A27="","",IF(P27="","Score all six behaviors.",IF(R27&gt;0,"Write the evidence. A blank evidence cell is a reputation score.",IF(U27="Ready","Scale now, and scale loudly.",IF(U27="Not yet","Hold at pilot scope until the gap closes. Name what closes it.",IF(V27="","Name a coach.",IF(W27="","Set a date.","Scale with support. Review on the date.")))))))</f>
        <v/>
      </c>
      <c r="Y27" s="14" t="n"/>
    </row>
    <row r="28">
      <c r="A28" s="14" t="n"/>
      <c r="B28" s="14" t="n"/>
      <c r="C28" s="15" t="n"/>
      <c r="D28" s="15" t="n"/>
      <c r="E28" s="14" t="n"/>
      <c r="F28" s="15" t="n"/>
      <c r="G28" s="14" t="n"/>
      <c r="H28" s="15" t="n"/>
      <c r="I28" s="14" t="n"/>
      <c r="J28" s="15" t="n"/>
      <c r="K28" s="14" t="n"/>
      <c r="L28" s="15" t="n"/>
      <c r="M28" s="14" t="n"/>
      <c r="N28" s="15" t="n"/>
      <c r="O28" s="14" t="n"/>
      <c r="P28" s="16">
        <f>IF(A28="","",IF(COUNTA(D28)+COUNTA(F28)+COUNTA(H28)+COUNTA(J28)+COUNTA(L28)+COUNTA(N28)&lt;6,"",IF(D28="Yes",1,IF(D28="Sometimes",0.5,0))+IF(F28="Yes",1,IF(F28="Sometimes",0.5,0))+IF(H28="Yes",1,IF(H28="Sometimes",0.5,0))+IF(J28="Yes",1,IF(J28="Sometimes",0.5,0))+IF(L28="Yes",1,IF(L28="Sometimes",0.5,0))+IF(N28="Yes",1,IF(N28="Sometimes",0.5,0))))</f>
        <v/>
      </c>
      <c r="Q28" s="16">
        <f>IF(P28="","",IF(D28="No",1,0)+IF(F28="No",1,0)+IF(H28="No",1,0)+IF(J28="No",1,0)+IF(L28="No",1,0)+IF(N28="No",1,0))</f>
        <v/>
      </c>
      <c r="R28" s="16">
        <f>IF(A28="","",6-COUNTA(E28)-COUNTA(G28)-COUNTA(I28)-COUNTA(K28)-COUNTA(M28)-COUNTA(O28))</f>
        <v/>
      </c>
      <c r="S28" s="17">
        <f>IF(P28="","",IF(OR(P28&lt;3.5,Q28&gt;=2),"Not yet",IF(AND(P28&gt;=5,Q28=0),"Ready","Ready with support")))</f>
        <v/>
      </c>
      <c r="T28" s="14" t="n"/>
      <c r="U28" s="17">
        <f>IF(A28="","",IF(T28&lt;&gt;"",T28,S28))</f>
        <v/>
      </c>
      <c r="V28" s="14" t="n"/>
      <c r="W28" s="18" t="n"/>
      <c r="X28" s="17">
        <f>IF(A28="","",IF(P28="","Score all six behaviors.",IF(R28&gt;0,"Write the evidence. A blank evidence cell is a reputation score.",IF(U28="Ready","Scale now, and scale loudly.",IF(U28="Not yet","Hold at pilot scope until the gap closes. Name what closes it.",IF(V28="","Name a coach.",IF(W28="","Set a date.","Scale with support. Review on the date.")))))))</f>
        <v/>
      </c>
      <c r="Y28" s="14" t="n"/>
    </row>
    <row r="29">
      <c r="A29" s="14" t="n"/>
      <c r="B29" s="14" t="n"/>
      <c r="C29" s="15" t="n"/>
      <c r="D29" s="15" t="n"/>
      <c r="E29" s="14" t="n"/>
      <c r="F29" s="15" t="n"/>
      <c r="G29" s="14" t="n"/>
      <c r="H29" s="15" t="n"/>
      <c r="I29" s="14" t="n"/>
      <c r="J29" s="15" t="n"/>
      <c r="K29" s="14" t="n"/>
      <c r="L29" s="15" t="n"/>
      <c r="M29" s="14" t="n"/>
      <c r="N29" s="15" t="n"/>
      <c r="O29" s="14" t="n"/>
      <c r="P29" s="16">
        <f>IF(A29="","",IF(COUNTA(D29)+COUNTA(F29)+COUNTA(H29)+COUNTA(J29)+COUNTA(L29)+COUNTA(N29)&lt;6,"",IF(D29="Yes",1,IF(D29="Sometimes",0.5,0))+IF(F29="Yes",1,IF(F29="Sometimes",0.5,0))+IF(H29="Yes",1,IF(H29="Sometimes",0.5,0))+IF(J29="Yes",1,IF(J29="Sometimes",0.5,0))+IF(L29="Yes",1,IF(L29="Sometimes",0.5,0))+IF(N29="Yes",1,IF(N29="Sometimes",0.5,0))))</f>
        <v/>
      </c>
      <c r="Q29" s="16">
        <f>IF(P29="","",IF(D29="No",1,0)+IF(F29="No",1,0)+IF(H29="No",1,0)+IF(J29="No",1,0)+IF(L29="No",1,0)+IF(N29="No",1,0))</f>
        <v/>
      </c>
      <c r="R29" s="16">
        <f>IF(A29="","",6-COUNTA(E29)-COUNTA(G29)-COUNTA(I29)-COUNTA(K29)-COUNTA(M29)-COUNTA(O29))</f>
        <v/>
      </c>
      <c r="S29" s="17">
        <f>IF(P29="","",IF(OR(P29&lt;3.5,Q29&gt;=2),"Not yet",IF(AND(P29&gt;=5,Q29=0),"Ready","Ready with support")))</f>
        <v/>
      </c>
      <c r="T29" s="14" t="n"/>
      <c r="U29" s="17">
        <f>IF(A29="","",IF(T29&lt;&gt;"",T29,S29))</f>
        <v/>
      </c>
      <c r="V29" s="14" t="n"/>
      <c r="W29" s="18" t="n"/>
      <c r="X29" s="17">
        <f>IF(A29="","",IF(P29="","Score all six behaviors.",IF(R29&gt;0,"Write the evidence. A blank evidence cell is a reputation score.",IF(U29="Ready","Scale now, and scale loudly.",IF(U29="Not yet","Hold at pilot scope until the gap closes. Name what closes it.",IF(V29="","Name a coach.",IF(W29="","Set a date.","Scale with support. Review on the date.")))))))</f>
        <v/>
      </c>
      <c r="Y29" s="14" t="n"/>
    </row>
    <row r="30">
      <c r="A30" s="14" t="n"/>
      <c r="B30" s="14" t="n"/>
      <c r="C30" s="15" t="n"/>
      <c r="D30" s="15" t="n"/>
      <c r="E30" s="14" t="n"/>
      <c r="F30" s="15" t="n"/>
      <c r="G30" s="14" t="n"/>
      <c r="H30" s="15" t="n"/>
      <c r="I30" s="14" t="n"/>
      <c r="J30" s="15" t="n"/>
      <c r="K30" s="14" t="n"/>
      <c r="L30" s="15" t="n"/>
      <c r="M30" s="14" t="n"/>
      <c r="N30" s="15" t="n"/>
      <c r="O30" s="14" t="n"/>
      <c r="P30" s="16">
        <f>IF(A30="","",IF(COUNTA(D30)+COUNTA(F30)+COUNTA(H30)+COUNTA(J30)+COUNTA(L30)+COUNTA(N30)&lt;6,"",IF(D30="Yes",1,IF(D30="Sometimes",0.5,0))+IF(F30="Yes",1,IF(F30="Sometimes",0.5,0))+IF(H30="Yes",1,IF(H30="Sometimes",0.5,0))+IF(J30="Yes",1,IF(J30="Sometimes",0.5,0))+IF(L30="Yes",1,IF(L30="Sometimes",0.5,0))+IF(N30="Yes",1,IF(N30="Sometimes",0.5,0))))</f>
        <v/>
      </c>
      <c r="Q30" s="16">
        <f>IF(P30="","",IF(D30="No",1,0)+IF(F30="No",1,0)+IF(H30="No",1,0)+IF(J30="No",1,0)+IF(L30="No",1,0)+IF(N30="No",1,0))</f>
        <v/>
      </c>
      <c r="R30" s="16">
        <f>IF(A30="","",6-COUNTA(E30)-COUNTA(G30)-COUNTA(I30)-COUNTA(K30)-COUNTA(M30)-COUNTA(O30))</f>
        <v/>
      </c>
      <c r="S30" s="17">
        <f>IF(P30="","",IF(OR(P30&lt;3.5,Q30&gt;=2),"Not yet",IF(AND(P30&gt;=5,Q30=0),"Ready","Ready with support")))</f>
        <v/>
      </c>
      <c r="T30" s="14" t="n"/>
      <c r="U30" s="17">
        <f>IF(A30="","",IF(T30&lt;&gt;"",T30,S30))</f>
        <v/>
      </c>
      <c r="V30" s="14" t="n"/>
      <c r="W30" s="18" t="n"/>
      <c r="X30" s="17">
        <f>IF(A30="","",IF(P30="","Score all six behaviors.",IF(R30&gt;0,"Write the evidence. A blank evidence cell is a reputation score.",IF(U30="Ready","Scale now, and scale loudly.",IF(U30="Not yet","Hold at pilot scope until the gap closes. Name what closes it.",IF(V30="","Name a coach.",IF(W30="","Set a date.","Scale with support. Review on the date.")))))))</f>
        <v/>
      </c>
      <c r="Y30" s="14" t="n"/>
    </row>
    <row r="31">
      <c r="A31" s="14" t="n"/>
      <c r="B31" s="14" t="n"/>
      <c r="C31" s="15" t="n"/>
      <c r="D31" s="15" t="n"/>
      <c r="E31" s="14" t="n"/>
      <c r="F31" s="15" t="n"/>
      <c r="G31" s="14" t="n"/>
      <c r="H31" s="15" t="n"/>
      <c r="I31" s="14" t="n"/>
      <c r="J31" s="15" t="n"/>
      <c r="K31" s="14" t="n"/>
      <c r="L31" s="15" t="n"/>
      <c r="M31" s="14" t="n"/>
      <c r="N31" s="15" t="n"/>
      <c r="O31" s="14" t="n"/>
      <c r="P31" s="16">
        <f>IF(A31="","",IF(COUNTA(D31)+COUNTA(F31)+COUNTA(H31)+COUNTA(J31)+COUNTA(L31)+COUNTA(N31)&lt;6,"",IF(D31="Yes",1,IF(D31="Sometimes",0.5,0))+IF(F31="Yes",1,IF(F31="Sometimes",0.5,0))+IF(H31="Yes",1,IF(H31="Sometimes",0.5,0))+IF(J31="Yes",1,IF(J31="Sometimes",0.5,0))+IF(L31="Yes",1,IF(L31="Sometimes",0.5,0))+IF(N31="Yes",1,IF(N31="Sometimes",0.5,0))))</f>
        <v/>
      </c>
      <c r="Q31" s="16">
        <f>IF(P31="","",IF(D31="No",1,0)+IF(F31="No",1,0)+IF(H31="No",1,0)+IF(J31="No",1,0)+IF(L31="No",1,0)+IF(N31="No",1,0))</f>
        <v/>
      </c>
      <c r="R31" s="16">
        <f>IF(A31="","",6-COUNTA(E31)-COUNTA(G31)-COUNTA(I31)-COUNTA(K31)-COUNTA(M31)-COUNTA(O31))</f>
        <v/>
      </c>
      <c r="S31" s="17">
        <f>IF(P31="","",IF(OR(P31&lt;3.5,Q31&gt;=2),"Not yet",IF(AND(P31&gt;=5,Q31=0),"Ready","Ready with support")))</f>
        <v/>
      </c>
      <c r="T31" s="14" t="n"/>
      <c r="U31" s="17">
        <f>IF(A31="","",IF(T31&lt;&gt;"",T31,S31))</f>
        <v/>
      </c>
      <c r="V31" s="14" t="n"/>
      <c r="W31" s="18" t="n"/>
      <c r="X31" s="17">
        <f>IF(A31="","",IF(P31="","Score all six behaviors.",IF(R31&gt;0,"Write the evidence. A blank evidence cell is a reputation score.",IF(U31="Ready","Scale now, and scale loudly.",IF(U31="Not yet","Hold at pilot scope until the gap closes. Name what closes it.",IF(V31="","Name a coach.",IF(W31="","Set a date.","Scale with support. Review on the date.")))))))</f>
        <v/>
      </c>
      <c r="Y31" s="14" t="n"/>
    </row>
    <row r="32">
      <c r="A32" s="14" t="n"/>
      <c r="B32" s="14" t="n"/>
      <c r="C32" s="15" t="n"/>
      <c r="D32" s="15" t="n"/>
      <c r="E32" s="14" t="n"/>
      <c r="F32" s="15" t="n"/>
      <c r="G32" s="14" t="n"/>
      <c r="H32" s="15" t="n"/>
      <c r="I32" s="14" t="n"/>
      <c r="J32" s="15" t="n"/>
      <c r="K32" s="14" t="n"/>
      <c r="L32" s="15" t="n"/>
      <c r="M32" s="14" t="n"/>
      <c r="N32" s="15" t="n"/>
      <c r="O32" s="14" t="n"/>
      <c r="P32" s="16">
        <f>IF(A32="","",IF(COUNTA(D32)+COUNTA(F32)+COUNTA(H32)+COUNTA(J32)+COUNTA(L32)+COUNTA(N32)&lt;6,"",IF(D32="Yes",1,IF(D32="Sometimes",0.5,0))+IF(F32="Yes",1,IF(F32="Sometimes",0.5,0))+IF(H32="Yes",1,IF(H32="Sometimes",0.5,0))+IF(J32="Yes",1,IF(J32="Sometimes",0.5,0))+IF(L32="Yes",1,IF(L32="Sometimes",0.5,0))+IF(N32="Yes",1,IF(N32="Sometimes",0.5,0))))</f>
        <v/>
      </c>
      <c r="Q32" s="16">
        <f>IF(P32="","",IF(D32="No",1,0)+IF(F32="No",1,0)+IF(H32="No",1,0)+IF(J32="No",1,0)+IF(L32="No",1,0)+IF(N32="No",1,0))</f>
        <v/>
      </c>
      <c r="R32" s="16">
        <f>IF(A32="","",6-COUNTA(E32)-COUNTA(G32)-COUNTA(I32)-COUNTA(K32)-COUNTA(M32)-COUNTA(O32))</f>
        <v/>
      </c>
      <c r="S32" s="17">
        <f>IF(P32="","",IF(OR(P32&lt;3.5,Q32&gt;=2),"Not yet",IF(AND(P32&gt;=5,Q32=0),"Ready","Ready with support")))</f>
        <v/>
      </c>
      <c r="T32" s="14" t="n"/>
      <c r="U32" s="17">
        <f>IF(A32="","",IF(T32&lt;&gt;"",T32,S32))</f>
        <v/>
      </c>
      <c r="V32" s="14" t="n"/>
      <c r="W32" s="18" t="n"/>
      <c r="X32" s="17">
        <f>IF(A32="","",IF(P32="","Score all six behaviors.",IF(R32&gt;0,"Write the evidence. A blank evidence cell is a reputation score.",IF(U32="Ready","Scale now, and scale loudly.",IF(U32="Not yet","Hold at pilot scope until the gap closes. Name what closes it.",IF(V32="","Name a coach.",IF(W32="","Set a date.","Scale with support. Review on the date.")))))))</f>
        <v/>
      </c>
      <c r="Y32" s="14" t="n"/>
    </row>
    <row r="33">
      <c r="A33" s="14" t="n"/>
      <c r="B33" s="14" t="n"/>
      <c r="C33" s="15" t="n"/>
      <c r="D33" s="15" t="n"/>
      <c r="E33" s="14" t="n"/>
      <c r="F33" s="15" t="n"/>
      <c r="G33" s="14" t="n"/>
      <c r="H33" s="15" t="n"/>
      <c r="I33" s="14" t="n"/>
      <c r="J33" s="15" t="n"/>
      <c r="K33" s="14" t="n"/>
      <c r="L33" s="15" t="n"/>
      <c r="M33" s="14" t="n"/>
      <c r="N33" s="15" t="n"/>
      <c r="O33" s="14" t="n"/>
      <c r="P33" s="16">
        <f>IF(A33="","",IF(COUNTA(D33)+COUNTA(F33)+COUNTA(H33)+COUNTA(J33)+COUNTA(L33)+COUNTA(N33)&lt;6,"",IF(D33="Yes",1,IF(D33="Sometimes",0.5,0))+IF(F33="Yes",1,IF(F33="Sometimes",0.5,0))+IF(H33="Yes",1,IF(H33="Sometimes",0.5,0))+IF(J33="Yes",1,IF(J33="Sometimes",0.5,0))+IF(L33="Yes",1,IF(L33="Sometimes",0.5,0))+IF(N33="Yes",1,IF(N33="Sometimes",0.5,0))))</f>
        <v/>
      </c>
      <c r="Q33" s="16">
        <f>IF(P33="","",IF(D33="No",1,0)+IF(F33="No",1,0)+IF(H33="No",1,0)+IF(J33="No",1,0)+IF(L33="No",1,0)+IF(N33="No",1,0))</f>
        <v/>
      </c>
      <c r="R33" s="16">
        <f>IF(A33="","",6-COUNTA(E33)-COUNTA(G33)-COUNTA(I33)-COUNTA(K33)-COUNTA(M33)-COUNTA(O33))</f>
        <v/>
      </c>
      <c r="S33" s="17">
        <f>IF(P33="","",IF(OR(P33&lt;3.5,Q33&gt;=2),"Not yet",IF(AND(P33&gt;=5,Q33=0),"Ready","Ready with support")))</f>
        <v/>
      </c>
      <c r="T33" s="14" t="n"/>
      <c r="U33" s="17">
        <f>IF(A33="","",IF(T33&lt;&gt;"",T33,S33))</f>
        <v/>
      </c>
      <c r="V33" s="14" t="n"/>
      <c r="W33" s="18" t="n"/>
      <c r="X33" s="17">
        <f>IF(A33="","",IF(P33="","Score all six behaviors.",IF(R33&gt;0,"Write the evidence. A blank evidence cell is a reputation score.",IF(U33="Ready","Scale now, and scale loudly.",IF(U33="Not yet","Hold at pilot scope until the gap closes. Name what closes it.",IF(V33="","Name a coach.",IF(W33="","Set a date.","Scale with support. Review on the date.")))))))</f>
        <v/>
      </c>
      <c r="Y33" s="14" t="n"/>
    </row>
    <row r="34">
      <c r="A34" s="14" t="n"/>
      <c r="B34" s="14" t="n"/>
      <c r="C34" s="15" t="n"/>
      <c r="D34" s="15" t="n"/>
      <c r="E34" s="14" t="n"/>
      <c r="F34" s="15" t="n"/>
      <c r="G34" s="14" t="n"/>
      <c r="H34" s="15" t="n"/>
      <c r="I34" s="14" t="n"/>
      <c r="J34" s="15" t="n"/>
      <c r="K34" s="14" t="n"/>
      <c r="L34" s="15" t="n"/>
      <c r="M34" s="14" t="n"/>
      <c r="N34" s="15" t="n"/>
      <c r="O34" s="14" t="n"/>
      <c r="P34" s="16">
        <f>IF(A34="","",IF(COUNTA(D34)+COUNTA(F34)+COUNTA(H34)+COUNTA(J34)+COUNTA(L34)+COUNTA(N34)&lt;6,"",IF(D34="Yes",1,IF(D34="Sometimes",0.5,0))+IF(F34="Yes",1,IF(F34="Sometimes",0.5,0))+IF(H34="Yes",1,IF(H34="Sometimes",0.5,0))+IF(J34="Yes",1,IF(J34="Sometimes",0.5,0))+IF(L34="Yes",1,IF(L34="Sometimes",0.5,0))+IF(N34="Yes",1,IF(N34="Sometimes",0.5,0))))</f>
        <v/>
      </c>
      <c r="Q34" s="16">
        <f>IF(P34="","",IF(D34="No",1,0)+IF(F34="No",1,0)+IF(H34="No",1,0)+IF(J34="No",1,0)+IF(L34="No",1,0)+IF(N34="No",1,0))</f>
        <v/>
      </c>
      <c r="R34" s="16">
        <f>IF(A34="","",6-COUNTA(E34)-COUNTA(G34)-COUNTA(I34)-COUNTA(K34)-COUNTA(M34)-COUNTA(O34))</f>
        <v/>
      </c>
      <c r="S34" s="17">
        <f>IF(P34="","",IF(OR(P34&lt;3.5,Q34&gt;=2),"Not yet",IF(AND(P34&gt;=5,Q34=0),"Ready","Ready with support")))</f>
        <v/>
      </c>
      <c r="T34" s="14" t="n"/>
      <c r="U34" s="17">
        <f>IF(A34="","",IF(T34&lt;&gt;"",T34,S34))</f>
        <v/>
      </c>
      <c r="V34" s="14" t="n"/>
      <c r="W34" s="18" t="n"/>
      <c r="X34" s="17">
        <f>IF(A34="","",IF(P34="","Score all six behaviors.",IF(R34&gt;0,"Write the evidence. A blank evidence cell is a reputation score.",IF(U34="Ready","Scale now, and scale loudly.",IF(U34="Not yet","Hold at pilot scope until the gap closes. Name what closes it.",IF(V34="","Name a coach.",IF(W34="","Set a date.","Scale with support. Review on the date.")))))))</f>
        <v/>
      </c>
      <c r="Y34" s="14" t="n"/>
    </row>
    <row r="35">
      <c r="A35" s="14" t="n"/>
      <c r="B35" s="14" t="n"/>
      <c r="C35" s="15" t="n"/>
      <c r="D35" s="15" t="n"/>
      <c r="E35" s="14" t="n"/>
      <c r="F35" s="15" t="n"/>
      <c r="G35" s="14" t="n"/>
      <c r="H35" s="15" t="n"/>
      <c r="I35" s="14" t="n"/>
      <c r="J35" s="15" t="n"/>
      <c r="K35" s="14" t="n"/>
      <c r="L35" s="15" t="n"/>
      <c r="M35" s="14" t="n"/>
      <c r="N35" s="15" t="n"/>
      <c r="O35" s="14" t="n"/>
      <c r="P35" s="16">
        <f>IF(A35="","",IF(COUNTA(D35)+COUNTA(F35)+COUNTA(H35)+COUNTA(J35)+COUNTA(L35)+COUNTA(N35)&lt;6,"",IF(D35="Yes",1,IF(D35="Sometimes",0.5,0))+IF(F35="Yes",1,IF(F35="Sometimes",0.5,0))+IF(H35="Yes",1,IF(H35="Sometimes",0.5,0))+IF(J35="Yes",1,IF(J35="Sometimes",0.5,0))+IF(L35="Yes",1,IF(L35="Sometimes",0.5,0))+IF(N35="Yes",1,IF(N35="Sometimes",0.5,0))))</f>
        <v/>
      </c>
      <c r="Q35" s="16">
        <f>IF(P35="","",IF(D35="No",1,0)+IF(F35="No",1,0)+IF(H35="No",1,0)+IF(J35="No",1,0)+IF(L35="No",1,0)+IF(N35="No",1,0))</f>
        <v/>
      </c>
      <c r="R35" s="16">
        <f>IF(A35="","",6-COUNTA(E35)-COUNTA(G35)-COUNTA(I35)-COUNTA(K35)-COUNTA(M35)-COUNTA(O35))</f>
        <v/>
      </c>
      <c r="S35" s="17">
        <f>IF(P35="","",IF(OR(P35&lt;3.5,Q35&gt;=2),"Not yet",IF(AND(P35&gt;=5,Q35=0),"Ready","Ready with support")))</f>
        <v/>
      </c>
      <c r="T35" s="14" t="n"/>
      <c r="U35" s="17">
        <f>IF(A35="","",IF(T35&lt;&gt;"",T35,S35))</f>
        <v/>
      </c>
      <c r="V35" s="14" t="n"/>
      <c r="W35" s="18" t="n"/>
      <c r="X35" s="17">
        <f>IF(A35="","",IF(P35="","Score all six behaviors.",IF(R35&gt;0,"Write the evidence. A blank evidence cell is a reputation score.",IF(U35="Ready","Scale now, and scale loudly.",IF(U35="Not yet","Hold at pilot scope until the gap closes. Name what closes it.",IF(V35="","Name a coach.",IF(W35="","Set a date.","Scale with support. Review on the date.")))))))</f>
        <v/>
      </c>
      <c r="Y35" s="14" t="n"/>
    </row>
    <row r="36">
      <c r="A36" s="14" t="n"/>
      <c r="B36" s="14" t="n"/>
      <c r="C36" s="15" t="n"/>
      <c r="D36" s="15" t="n"/>
      <c r="E36" s="14" t="n"/>
      <c r="F36" s="15" t="n"/>
      <c r="G36" s="14" t="n"/>
      <c r="H36" s="15" t="n"/>
      <c r="I36" s="14" t="n"/>
      <c r="J36" s="15" t="n"/>
      <c r="K36" s="14" t="n"/>
      <c r="L36" s="15" t="n"/>
      <c r="M36" s="14" t="n"/>
      <c r="N36" s="15" t="n"/>
      <c r="O36" s="14" t="n"/>
      <c r="P36" s="16">
        <f>IF(A36="","",IF(COUNTA(D36)+COUNTA(F36)+COUNTA(H36)+COUNTA(J36)+COUNTA(L36)+COUNTA(N36)&lt;6,"",IF(D36="Yes",1,IF(D36="Sometimes",0.5,0))+IF(F36="Yes",1,IF(F36="Sometimes",0.5,0))+IF(H36="Yes",1,IF(H36="Sometimes",0.5,0))+IF(J36="Yes",1,IF(J36="Sometimes",0.5,0))+IF(L36="Yes",1,IF(L36="Sometimes",0.5,0))+IF(N36="Yes",1,IF(N36="Sometimes",0.5,0))))</f>
        <v/>
      </c>
      <c r="Q36" s="16">
        <f>IF(P36="","",IF(D36="No",1,0)+IF(F36="No",1,0)+IF(H36="No",1,0)+IF(J36="No",1,0)+IF(L36="No",1,0)+IF(N36="No",1,0))</f>
        <v/>
      </c>
      <c r="R36" s="16">
        <f>IF(A36="","",6-COUNTA(E36)-COUNTA(G36)-COUNTA(I36)-COUNTA(K36)-COUNTA(M36)-COUNTA(O36))</f>
        <v/>
      </c>
      <c r="S36" s="17">
        <f>IF(P36="","",IF(OR(P36&lt;3.5,Q36&gt;=2),"Not yet",IF(AND(P36&gt;=5,Q36=0),"Ready","Ready with support")))</f>
        <v/>
      </c>
      <c r="T36" s="14" t="n"/>
      <c r="U36" s="17">
        <f>IF(A36="","",IF(T36&lt;&gt;"",T36,S36))</f>
        <v/>
      </c>
      <c r="V36" s="14" t="n"/>
      <c r="W36" s="18" t="n"/>
      <c r="X36" s="17">
        <f>IF(A36="","",IF(P36="","Score all six behaviors.",IF(R36&gt;0,"Write the evidence. A blank evidence cell is a reputation score.",IF(U36="Ready","Scale now, and scale loudly.",IF(U36="Not yet","Hold at pilot scope until the gap closes. Name what closes it.",IF(V36="","Name a coach.",IF(W36="","Set a date.","Scale with support. Review on the date.")))))))</f>
        <v/>
      </c>
      <c r="Y36" s="14" t="n"/>
    </row>
    <row r="37">
      <c r="A37" s="14" t="n"/>
      <c r="B37" s="14" t="n"/>
      <c r="C37" s="15" t="n"/>
      <c r="D37" s="15" t="n"/>
      <c r="E37" s="14" t="n"/>
      <c r="F37" s="15" t="n"/>
      <c r="G37" s="14" t="n"/>
      <c r="H37" s="15" t="n"/>
      <c r="I37" s="14" t="n"/>
      <c r="J37" s="15" t="n"/>
      <c r="K37" s="14" t="n"/>
      <c r="L37" s="15" t="n"/>
      <c r="M37" s="14" t="n"/>
      <c r="N37" s="15" t="n"/>
      <c r="O37" s="14" t="n"/>
      <c r="P37" s="16">
        <f>IF(A37="","",IF(COUNTA(D37)+COUNTA(F37)+COUNTA(H37)+COUNTA(J37)+COUNTA(L37)+COUNTA(N37)&lt;6,"",IF(D37="Yes",1,IF(D37="Sometimes",0.5,0))+IF(F37="Yes",1,IF(F37="Sometimes",0.5,0))+IF(H37="Yes",1,IF(H37="Sometimes",0.5,0))+IF(J37="Yes",1,IF(J37="Sometimes",0.5,0))+IF(L37="Yes",1,IF(L37="Sometimes",0.5,0))+IF(N37="Yes",1,IF(N37="Sometimes",0.5,0))))</f>
        <v/>
      </c>
      <c r="Q37" s="16">
        <f>IF(P37="","",IF(D37="No",1,0)+IF(F37="No",1,0)+IF(H37="No",1,0)+IF(J37="No",1,0)+IF(L37="No",1,0)+IF(N37="No",1,0))</f>
        <v/>
      </c>
      <c r="R37" s="16">
        <f>IF(A37="","",6-COUNTA(E37)-COUNTA(G37)-COUNTA(I37)-COUNTA(K37)-COUNTA(M37)-COUNTA(O37))</f>
        <v/>
      </c>
      <c r="S37" s="17">
        <f>IF(P37="","",IF(OR(P37&lt;3.5,Q37&gt;=2),"Not yet",IF(AND(P37&gt;=5,Q37=0),"Ready","Ready with support")))</f>
        <v/>
      </c>
      <c r="T37" s="14" t="n"/>
      <c r="U37" s="17">
        <f>IF(A37="","",IF(T37&lt;&gt;"",T37,S37))</f>
        <v/>
      </c>
      <c r="V37" s="14" t="n"/>
      <c r="W37" s="18" t="n"/>
      <c r="X37" s="17">
        <f>IF(A37="","",IF(P37="","Score all six behaviors.",IF(R37&gt;0,"Write the evidence. A blank evidence cell is a reputation score.",IF(U37="Ready","Scale now, and scale loudly.",IF(U37="Not yet","Hold at pilot scope until the gap closes. Name what closes it.",IF(V37="","Name a coach.",IF(W37="","Set a date.","Scale with support. Review on the date.")))))))</f>
        <v/>
      </c>
      <c r="Y37" s="14" t="n"/>
    </row>
    <row r="38">
      <c r="A38" s="14" t="n"/>
      <c r="B38" s="14" t="n"/>
      <c r="C38" s="15" t="n"/>
      <c r="D38" s="15" t="n"/>
      <c r="E38" s="14" t="n"/>
      <c r="F38" s="15" t="n"/>
      <c r="G38" s="14" t="n"/>
      <c r="H38" s="15" t="n"/>
      <c r="I38" s="14" t="n"/>
      <c r="J38" s="15" t="n"/>
      <c r="K38" s="14" t="n"/>
      <c r="L38" s="15" t="n"/>
      <c r="M38" s="14" t="n"/>
      <c r="N38" s="15" t="n"/>
      <c r="O38" s="14" t="n"/>
      <c r="P38" s="16">
        <f>IF(A38="","",IF(COUNTA(D38)+COUNTA(F38)+COUNTA(H38)+COUNTA(J38)+COUNTA(L38)+COUNTA(N38)&lt;6,"",IF(D38="Yes",1,IF(D38="Sometimes",0.5,0))+IF(F38="Yes",1,IF(F38="Sometimes",0.5,0))+IF(H38="Yes",1,IF(H38="Sometimes",0.5,0))+IF(J38="Yes",1,IF(J38="Sometimes",0.5,0))+IF(L38="Yes",1,IF(L38="Sometimes",0.5,0))+IF(N38="Yes",1,IF(N38="Sometimes",0.5,0))))</f>
        <v/>
      </c>
      <c r="Q38" s="16">
        <f>IF(P38="","",IF(D38="No",1,0)+IF(F38="No",1,0)+IF(H38="No",1,0)+IF(J38="No",1,0)+IF(L38="No",1,0)+IF(N38="No",1,0))</f>
        <v/>
      </c>
      <c r="R38" s="16">
        <f>IF(A38="","",6-COUNTA(E38)-COUNTA(G38)-COUNTA(I38)-COUNTA(K38)-COUNTA(M38)-COUNTA(O38))</f>
        <v/>
      </c>
      <c r="S38" s="17">
        <f>IF(P38="","",IF(OR(P38&lt;3.5,Q38&gt;=2),"Not yet",IF(AND(P38&gt;=5,Q38=0),"Ready","Ready with support")))</f>
        <v/>
      </c>
      <c r="T38" s="14" t="n"/>
      <c r="U38" s="17">
        <f>IF(A38="","",IF(T38&lt;&gt;"",T38,S38))</f>
        <v/>
      </c>
      <c r="V38" s="14" t="n"/>
      <c r="W38" s="18" t="n"/>
      <c r="X38" s="17">
        <f>IF(A38="","",IF(P38="","Score all six behaviors.",IF(R38&gt;0,"Write the evidence. A blank evidence cell is a reputation score.",IF(U38="Ready","Scale now, and scale loudly.",IF(U38="Not yet","Hold at pilot scope until the gap closes. Name what closes it.",IF(V38="","Name a coach.",IF(W38="","Set a date.","Scale with support. Review on the date.")))))))</f>
        <v/>
      </c>
      <c r="Y38" s="14" t="n"/>
    </row>
    <row r="39">
      <c r="A39" s="14" t="n"/>
      <c r="B39" s="14" t="n"/>
      <c r="C39" s="15" t="n"/>
      <c r="D39" s="15" t="n"/>
      <c r="E39" s="14" t="n"/>
      <c r="F39" s="15" t="n"/>
      <c r="G39" s="14" t="n"/>
      <c r="H39" s="15" t="n"/>
      <c r="I39" s="14" t="n"/>
      <c r="J39" s="15" t="n"/>
      <c r="K39" s="14" t="n"/>
      <c r="L39" s="15" t="n"/>
      <c r="M39" s="14" t="n"/>
      <c r="N39" s="15" t="n"/>
      <c r="O39" s="14" t="n"/>
      <c r="P39" s="16">
        <f>IF(A39="","",IF(COUNTA(D39)+COUNTA(F39)+COUNTA(H39)+COUNTA(J39)+COUNTA(L39)+COUNTA(N39)&lt;6,"",IF(D39="Yes",1,IF(D39="Sometimes",0.5,0))+IF(F39="Yes",1,IF(F39="Sometimes",0.5,0))+IF(H39="Yes",1,IF(H39="Sometimes",0.5,0))+IF(J39="Yes",1,IF(J39="Sometimes",0.5,0))+IF(L39="Yes",1,IF(L39="Sometimes",0.5,0))+IF(N39="Yes",1,IF(N39="Sometimes",0.5,0))))</f>
        <v/>
      </c>
      <c r="Q39" s="16">
        <f>IF(P39="","",IF(D39="No",1,0)+IF(F39="No",1,0)+IF(H39="No",1,0)+IF(J39="No",1,0)+IF(L39="No",1,0)+IF(N39="No",1,0))</f>
        <v/>
      </c>
      <c r="R39" s="16">
        <f>IF(A39="","",6-COUNTA(E39)-COUNTA(G39)-COUNTA(I39)-COUNTA(K39)-COUNTA(M39)-COUNTA(O39))</f>
        <v/>
      </c>
      <c r="S39" s="17">
        <f>IF(P39="","",IF(OR(P39&lt;3.5,Q39&gt;=2),"Not yet",IF(AND(P39&gt;=5,Q39=0),"Ready","Ready with support")))</f>
        <v/>
      </c>
      <c r="T39" s="14" t="n"/>
      <c r="U39" s="17">
        <f>IF(A39="","",IF(T39&lt;&gt;"",T39,S39))</f>
        <v/>
      </c>
      <c r="V39" s="14" t="n"/>
      <c r="W39" s="18" t="n"/>
      <c r="X39" s="17">
        <f>IF(A39="","",IF(P39="","Score all six behaviors.",IF(R39&gt;0,"Write the evidence. A blank evidence cell is a reputation score.",IF(U39="Ready","Scale now, and scale loudly.",IF(U39="Not yet","Hold at pilot scope until the gap closes. Name what closes it.",IF(V39="","Name a coach.",IF(W39="","Set a date.","Scale with support. Review on the date.")))))))</f>
        <v/>
      </c>
      <c r="Y39" s="14" t="n"/>
    </row>
    <row r="40">
      <c r="A40" s="14" t="n"/>
      <c r="B40" s="14" t="n"/>
      <c r="C40" s="15" t="n"/>
      <c r="D40" s="15" t="n"/>
      <c r="E40" s="14" t="n"/>
      <c r="F40" s="15" t="n"/>
      <c r="G40" s="14" t="n"/>
      <c r="H40" s="15" t="n"/>
      <c r="I40" s="14" t="n"/>
      <c r="J40" s="15" t="n"/>
      <c r="K40" s="14" t="n"/>
      <c r="L40" s="15" t="n"/>
      <c r="M40" s="14" t="n"/>
      <c r="N40" s="15" t="n"/>
      <c r="O40" s="14" t="n"/>
      <c r="P40" s="16">
        <f>IF(A40="","",IF(COUNTA(D40)+COUNTA(F40)+COUNTA(H40)+COUNTA(J40)+COUNTA(L40)+COUNTA(N40)&lt;6,"",IF(D40="Yes",1,IF(D40="Sometimes",0.5,0))+IF(F40="Yes",1,IF(F40="Sometimes",0.5,0))+IF(H40="Yes",1,IF(H40="Sometimes",0.5,0))+IF(J40="Yes",1,IF(J40="Sometimes",0.5,0))+IF(L40="Yes",1,IF(L40="Sometimes",0.5,0))+IF(N40="Yes",1,IF(N40="Sometimes",0.5,0))))</f>
        <v/>
      </c>
      <c r="Q40" s="16">
        <f>IF(P40="","",IF(D40="No",1,0)+IF(F40="No",1,0)+IF(H40="No",1,0)+IF(J40="No",1,0)+IF(L40="No",1,0)+IF(N40="No",1,0))</f>
        <v/>
      </c>
      <c r="R40" s="16">
        <f>IF(A40="","",6-COUNTA(E40)-COUNTA(G40)-COUNTA(I40)-COUNTA(K40)-COUNTA(M40)-COUNTA(O40))</f>
        <v/>
      </c>
      <c r="S40" s="17">
        <f>IF(P40="","",IF(OR(P40&lt;3.5,Q40&gt;=2),"Not yet",IF(AND(P40&gt;=5,Q40=0),"Ready","Ready with support")))</f>
        <v/>
      </c>
      <c r="T40" s="14" t="n"/>
      <c r="U40" s="17">
        <f>IF(A40="","",IF(T40&lt;&gt;"",T40,S40))</f>
        <v/>
      </c>
      <c r="V40" s="14" t="n"/>
      <c r="W40" s="18" t="n"/>
      <c r="X40" s="17">
        <f>IF(A40="","",IF(P40="","Score all six behaviors.",IF(R40&gt;0,"Write the evidence. A blank evidence cell is a reputation score.",IF(U40="Ready","Scale now, and scale loudly.",IF(U40="Not yet","Hold at pilot scope until the gap closes. Name what closes it.",IF(V40="","Name a coach.",IF(W40="","Set a date.","Scale with support. Review on the date.")))))))</f>
        <v/>
      </c>
      <c r="Y40" s="14" t="n"/>
    </row>
    <row r="41">
      <c r="A41" s="14" t="n"/>
      <c r="B41" s="14" t="n"/>
      <c r="C41" s="15" t="n"/>
      <c r="D41" s="15" t="n"/>
      <c r="E41" s="14" t="n"/>
      <c r="F41" s="15" t="n"/>
      <c r="G41" s="14" t="n"/>
      <c r="H41" s="15" t="n"/>
      <c r="I41" s="14" t="n"/>
      <c r="J41" s="15" t="n"/>
      <c r="K41" s="14" t="n"/>
      <c r="L41" s="15" t="n"/>
      <c r="M41" s="14" t="n"/>
      <c r="N41" s="15" t="n"/>
      <c r="O41" s="14" t="n"/>
      <c r="P41" s="16">
        <f>IF(A41="","",IF(COUNTA(D41)+COUNTA(F41)+COUNTA(H41)+COUNTA(J41)+COUNTA(L41)+COUNTA(N41)&lt;6,"",IF(D41="Yes",1,IF(D41="Sometimes",0.5,0))+IF(F41="Yes",1,IF(F41="Sometimes",0.5,0))+IF(H41="Yes",1,IF(H41="Sometimes",0.5,0))+IF(J41="Yes",1,IF(J41="Sometimes",0.5,0))+IF(L41="Yes",1,IF(L41="Sometimes",0.5,0))+IF(N41="Yes",1,IF(N41="Sometimes",0.5,0))))</f>
        <v/>
      </c>
      <c r="Q41" s="16">
        <f>IF(P41="","",IF(D41="No",1,0)+IF(F41="No",1,0)+IF(H41="No",1,0)+IF(J41="No",1,0)+IF(L41="No",1,0)+IF(N41="No",1,0))</f>
        <v/>
      </c>
      <c r="R41" s="16">
        <f>IF(A41="","",6-COUNTA(E41)-COUNTA(G41)-COUNTA(I41)-COUNTA(K41)-COUNTA(M41)-COUNTA(O41))</f>
        <v/>
      </c>
      <c r="S41" s="17">
        <f>IF(P41="","",IF(OR(P41&lt;3.5,Q41&gt;=2),"Not yet",IF(AND(P41&gt;=5,Q41=0),"Ready","Ready with support")))</f>
        <v/>
      </c>
      <c r="T41" s="14" t="n"/>
      <c r="U41" s="17">
        <f>IF(A41="","",IF(T41&lt;&gt;"",T41,S41))</f>
        <v/>
      </c>
      <c r="V41" s="14" t="n"/>
      <c r="W41" s="18" t="n"/>
      <c r="X41" s="17">
        <f>IF(A41="","",IF(P41="","Score all six behaviors.",IF(R41&gt;0,"Write the evidence. A blank evidence cell is a reputation score.",IF(U41="Ready","Scale now, and scale loudly.",IF(U41="Not yet","Hold at pilot scope until the gap closes. Name what closes it.",IF(V41="","Name a coach.",IF(W41="","Set a date.","Scale with support. Review on the date.")))))))</f>
        <v/>
      </c>
      <c r="Y41" s="14" t="n"/>
    </row>
    <row r="42">
      <c r="A42" s="14" t="n"/>
      <c r="B42" s="14" t="n"/>
      <c r="C42" s="15" t="n"/>
      <c r="D42" s="15" t="n"/>
      <c r="E42" s="14" t="n"/>
      <c r="F42" s="15" t="n"/>
      <c r="G42" s="14" t="n"/>
      <c r="H42" s="15" t="n"/>
      <c r="I42" s="14" t="n"/>
      <c r="J42" s="15" t="n"/>
      <c r="K42" s="14" t="n"/>
      <c r="L42" s="15" t="n"/>
      <c r="M42" s="14" t="n"/>
      <c r="N42" s="15" t="n"/>
      <c r="O42" s="14" t="n"/>
      <c r="P42" s="16">
        <f>IF(A42="","",IF(COUNTA(D42)+COUNTA(F42)+COUNTA(H42)+COUNTA(J42)+COUNTA(L42)+COUNTA(N42)&lt;6,"",IF(D42="Yes",1,IF(D42="Sometimes",0.5,0))+IF(F42="Yes",1,IF(F42="Sometimes",0.5,0))+IF(H42="Yes",1,IF(H42="Sometimes",0.5,0))+IF(J42="Yes",1,IF(J42="Sometimes",0.5,0))+IF(L42="Yes",1,IF(L42="Sometimes",0.5,0))+IF(N42="Yes",1,IF(N42="Sometimes",0.5,0))))</f>
        <v/>
      </c>
      <c r="Q42" s="16">
        <f>IF(P42="","",IF(D42="No",1,0)+IF(F42="No",1,0)+IF(H42="No",1,0)+IF(J42="No",1,0)+IF(L42="No",1,0)+IF(N42="No",1,0))</f>
        <v/>
      </c>
      <c r="R42" s="16">
        <f>IF(A42="","",6-COUNTA(E42)-COUNTA(G42)-COUNTA(I42)-COUNTA(K42)-COUNTA(M42)-COUNTA(O42))</f>
        <v/>
      </c>
      <c r="S42" s="17">
        <f>IF(P42="","",IF(OR(P42&lt;3.5,Q42&gt;=2),"Not yet",IF(AND(P42&gt;=5,Q42=0),"Ready","Ready with support")))</f>
        <v/>
      </c>
      <c r="T42" s="14" t="n"/>
      <c r="U42" s="17">
        <f>IF(A42="","",IF(T42&lt;&gt;"",T42,S42))</f>
        <v/>
      </c>
      <c r="V42" s="14" t="n"/>
      <c r="W42" s="18" t="n"/>
      <c r="X42" s="17">
        <f>IF(A42="","",IF(P42="","Score all six behaviors.",IF(R42&gt;0,"Write the evidence. A blank evidence cell is a reputation score.",IF(U42="Ready","Scale now, and scale loudly.",IF(U42="Not yet","Hold at pilot scope until the gap closes. Name what closes it.",IF(V42="","Name a coach.",IF(W42="","Set a date.","Scale with support. Review on the date.")))))))</f>
        <v/>
      </c>
      <c r="Y42" s="14" t="n"/>
    </row>
    <row r="43">
      <c r="A43" s="14" t="n"/>
      <c r="B43" s="14" t="n"/>
      <c r="C43" s="15" t="n"/>
      <c r="D43" s="15" t="n"/>
      <c r="E43" s="14" t="n"/>
      <c r="F43" s="15" t="n"/>
      <c r="G43" s="14" t="n"/>
      <c r="H43" s="15" t="n"/>
      <c r="I43" s="14" t="n"/>
      <c r="J43" s="15" t="n"/>
      <c r="K43" s="14" t="n"/>
      <c r="L43" s="15" t="n"/>
      <c r="M43" s="14" t="n"/>
      <c r="N43" s="15" t="n"/>
      <c r="O43" s="14" t="n"/>
      <c r="P43" s="16">
        <f>IF(A43="","",IF(COUNTA(D43)+COUNTA(F43)+COUNTA(H43)+COUNTA(J43)+COUNTA(L43)+COUNTA(N43)&lt;6,"",IF(D43="Yes",1,IF(D43="Sometimes",0.5,0))+IF(F43="Yes",1,IF(F43="Sometimes",0.5,0))+IF(H43="Yes",1,IF(H43="Sometimes",0.5,0))+IF(J43="Yes",1,IF(J43="Sometimes",0.5,0))+IF(L43="Yes",1,IF(L43="Sometimes",0.5,0))+IF(N43="Yes",1,IF(N43="Sometimes",0.5,0))))</f>
        <v/>
      </c>
      <c r="Q43" s="16">
        <f>IF(P43="","",IF(D43="No",1,0)+IF(F43="No",1,0)+IF(H43="No",1,0)+IF(J43="No",1,0)+IF(L43="No",1,0)+IF(N43="No",1,0))</f>
        <v/>
      </c>
      <c r="R43" s="16">
        <f>IF(A43="","",6-COUNTA(E43)-COUNTA(G43)-COUNTA(I43)-COUNTA(K43)-COUNTA(M43)-COUNTA(O43))</f>
        <v/>
      </c>
      <c r="S43" s="17">
        <f>IF(P43="","",IF(OR(P43&lt;3.5,Q43&gt;=2),"Not yet",IF(AND(P43&gt;=5,Q43=0),"Ready","Ready with support")))</f>
        <v/>
      </c>
      <c r="T43" s="14" t="n"/>
      <c r="U43" s="17">
        <f>IF(A43="","",IF(T43&lt;&gt;"",T43,S43))</f>
        <v/>
      </c>
      <c r="V43" s="14" t="n"/>
      <c r="W43" s="18" t="n"/>
      <c r="X43" s="17">
        <f>IF(A43="","",IF(P43="","Score all six behaviors.",IF(R43&gt;0,"Write the evidence. A blank evidence cell is a reputation score.",IF(U43="Ready","Scale now, and scale loudly.",IF(U43="Not yet","Hold at pilot scope until the gap closes. Name what closes it.",IF(V43="","Name a coach.",IF(W43="","Set a date.","Scale with support. Review on the date.")))))))</f>
        <v/>
      </c>
      <c r="Y43" s="14" t="n"/>
    </row>
    <row r="44">
      <c r="A44" s="14" t="n"/>
      <c r="B44" s="14" t="n"/>
      <c r="C44" s="15" t="n"/>
      <c r="D44" s="15" t="n"/>
      <c r="E44" s="14" t="n"/>
      <c r="F44" s="15" t="n"/>
      <c r="G44" s="14" t="n"/>
      <c r="H44" s="15" t="n"/>
      <c r="I44" s="14" t="n"/>
      <c r="J44" s="15" t="n"/>
      <c r="K44" s="14" t="n"/>
      <c r="L44" s="15" t="n"/>
      <c r="M44" s="14" t="n"/>
      <c r="N44" s="15" t="n"/>
      <c r="O44" s="14" t="n"/>
      <c r="P44" s="16">
        <f>IF(A44="","",IF(COUNTA(D44)+COUNTA(F44)+COUNTA(H44)+COUNTA(J44)+COUNTA(L44)+COUNTA(N44)&lt;6,"",IF(D44="Yes",1,IF(D44="Sometimes",0.5,0))+IF(F44="Yes",1,IF(F44="Sometimes",0.5,0))+IF(H44="Yes",1,IF(H44="Sometimes",0.5,0))+IF(J44="Yes",1,IF(J44="Sometimes",0.5,0))+IF(L44="Yes",1,IF(L44="Sometimes",0.5,0))+IF(N44="Yes",1,IF(N44="Sometimes",0.5,0))))</f>
        <v/>
      </c>
      <c r="Q44" s="16">
        <f>IF(P44="","",IF(D44="No",1,0)+IF(F44="No",1,0)+IF(H44="No",1,0)+IF(J44="No",1,0)+IF(L44="No",1,0)+IF(N44="No",1,0))</f>
        <v/>
      </c>
      <c r="R44" s="16">
        <f>IF(A44="","",6-COUNTA(E44)-COUNTA(G44)-COUNTA(I44)-COUNTA(K44)-COUNTA(M44)-COUNTA(O44))</f>
        <v/>
      </c>
      <c r="S44" s="17">
        <f>IF(P44="","",IF(OR(P44&lt;3.5,Q44&gt;=2),"Not yet",IF(AND(P44&gt;=5,Q44=0),"Ready","Ready with support")))</f>
        <v/>
      </c>
      <c r="T44" s="14" t="n"/>
      <c r="U44" s="17">
        <f>IF(A44="","",IF(T44&lt;&gt;"",T44,S44))</f>
        <v/>
      </c>
      <c r="V44" s="14" t="n"/>
      <c r="W44" s="18" t="n"/>
      <c r="X44" s="17">
        <f>IF(A44="","",IF(P44="","Score all six behaviors.",IF(R44&gt;0,"Write the evidence. A blank evidence cell is a reputation score.",IF(U44="Ready","Scale now, and scale loudly.",IF(U44="Not yet","Hold at pilot scope until the gap closes. Name what closes it.",IF(V44="","Name a coach.",IF(W44="","Set a date.","Scale with support. Review on the date.")))))))</f>
        <v/>
      </c>
      <c r="Y44" s="14" t="n"/>
    </row>
  </sheetData>
  <mergeCells count="2">
    <mergeCell ref="A3:X3"/>
    <mergeCell ref="A2:X2"/>
  </mergeCells>
  <conditionalFormatting sqref="D5:D44">
    <cfRule type="expression" priority="1" dxfId="0">
      <formula>D5="No"</formula>
    </cfRule>
    <cfRule type="expression" priority="2" dxfId="1">
      <formula>D5="Sometimes"</formula>
    </cfRule>
  </conditionalFormatting>
  <conditionalFormatting sqref="F5:F44">
    <cfRule type="expression" priority="3" dxfId="0">
      <formula>F5="No"</formula>
    </cfRule>
    <cfRule type="expression" priority="4" dxfId="1">
      <formula>F5="Sometimes"</formula>
    </cfRule>
  </conditionalFormatting>
  <conditionalFormatting sqref="H5:H44">
    <cfRule type="expression" priority="5" dxfId="0">
      <formula>H5="No"</formula>
    </cfRule>
    <cfRule type="expression" priority="6" dxfId="1">
      <formula>H5="Sometimes"</formula>
    </cfRule>
  </conditionalFormatting>
  <conditionalFormatting sqref="J5:J44">
    <cfRule type="expression" priority="7" dxfId="0">
      <formula>J5="No"</formula>
    </cfRule>
    <cfRule type="expression" priority="8" dxfId="1">
      <formula>J5="Sometimes"</formula>
    </cfRule>
  </conditionalFormatting>
  <conditionalFormatting sqref="L5:L44">
    <cfRule type="expression" priority="9" dxfId="0">
      <formula>L5="No"</formula>
    </cfRule>
    <cfRule type="expression" priority="10" dxfId="1">
      <formula>L5="Sometimes"</formula>
    </cfRule>
  </conditionalFormatting>
  <conditionalFormatting sqref="N5:N44">
    <cfRule type="expression" priority="11" dxfId="0">
      <formula>N5="No"</formula>
    </cfRule>
    <cfRule type="expression" priority="12" dxfId="1">
      <formula>N5="Sometimes"</formula>
    </cfRule>
  </conditionalFormatting>
  <conditionalFormatting sqref="S5:S44">
    <cfRule type="expression" priority="13" dxfId="2">
      <formula>S5="Ready"</formula>
    </cfRule>
    <cfRule type="expression" priority="14" dxfId="1">
      <formula>S5="Ready with support"</formula>
    </cfRule>
    <cfRule type="expression" priority="15" dxfId="0">
      <formula>S5="Not yet"</formula>
    </cfRule>
  </conditionalFormatting>
  <conditionalFormatting sqref="U5:U44">
    <cfRule type="expression" priority="16" dxfId="2">
      <formula>U5="Ready"</formula>
    </cfRule>
    <cfRule type="expression" priority="17" dxfId="1">
      <formula>U5="Ready with support"</formula>
    </cfRule>
    <cfRule type="expression" priority="18" dxfId="0">
      <formula>U5="Not yet"</formula>
    </cfRule>
  </conditionalFormatting>
  <conditionalFormatting sqref="R5:R44">
    <cfRule type="expression" priority="19" dxfId="3">
      <formula>AND(R5&lt;&gt;"",R5&gt;0)</formula>
    </cfRule>
  </conditionalFormatting>
  <dataValidations count="3">
    <dataValidation sqref="D5:D44 F5:F44 H5:H44 J5:J44 L5:L44 N5:N44" showDropDown="0" showInputMessage="0" showErrorMessage="0" allowBlank="1" type="list">
      <formula1>"Yes,Sometimes,No"</formula1>
    </dataValidation>
    <dataValidation sqref="T5:T44" showDropDown="0" showInputMessage="0" showErrorMessage="0" allowBlank="1" type="list">
      <formula1>"Ready,Ready with support,Not yet"</formula1>
    </dataValidation>
    <dataValidation sqref="W5:W44" showDropDown="0" showInputMessage="0" showErrorMessage="0" allowBlank="1" type="date" operator="greaterThan">
      <formula1>36526</formula1>
    </dataValidation>
  </dataValidations>
  <pageMargins left="0.75" right="0.75" top="1" bottom="1" header="0.5" footer="0.5"/>
  <pageSetup orientation="landscape" fitToHeight="0" fitToWidth="1"/>
  <headerFooter>
    <oddHeader/>
    <oddFooter>&amp;LOnTheGrow Leadership | Manager Readiness Review&amp;RPage &amp;P of &amp;N</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B1:F53"/>
  <sheetViews>
    <sheetView showGridLines="0" workbookViewId="0">
      <selection activeCell="A1" sqref="A1"/>
    </sheetView>
  </sheetViews>
  <sheetFormatPr baseColWidth="8" defaultRowHeight="15"/>
  <cols>
    <col width="3" customWidth="1" min="1" max="1"/>
    <col width="44" customWidth="1" min="2" max="2"/>
    <col width="16" customWidth="1" min="3" max="3"/>
    <col width="16" customWidth="1" min="4" max="4"/>
    <col width="22" customWidth="1" min="5" max="5"/>
    <col width="14" customWidth="1" min="6" max="6"/>
  </cols>
  <sheetData>
    <row r="1">
      <c r="B1" s="9" t="inlineStr">
        <is>
          <t>Rollout Decision: Who Is Ready to Run It?</t>
        </is>
      </c>
    </row>
    <row r="2" ht="28" customHeight="1">
      <c r="B2" s="10" t="inlineStr">
        <is>
          <t>HOW TO USE THIS TAB: Answer the two evidence gates in the yellow cells. Everything else calculates from the Review. Bring this page to the rollout meeting and put it next to the enthusiasm.</t>
        </is>
      </c>
    </row>
    <row r="3">
      <c r="B3" s="11" t="inlineStr">
        <is>
          <t>© 2026 Elizabeth A. Corey. All rights reserved. GROWTH Execution Model™. onthegrow.ai</t>
        </is>
      </c>
    </row>
    <row r="5">
      <c r="B5" s="12" t="inlineStr">
        <is>
          <t>THE TWO EVIDENCE GATES (answer before counting managers)</t>
        </is>
      </c>
      <c r="C5" s="12" t="inlineStr">
        <is>
          <t>Yes or No</t>
        </is>
      </c>
    </row>
    <row r="6">
      <c r="B6" s="19" t="inlineStr">
        <is>
          <t>Has the knowledge this rollout touches passed the readiness test? (Toolbox No. 3)</t>
        </is>
      </c>
      <c r="C6" s="20" t="inlineStr">
        <is>
          <t>Yes</t>
        </is>
      </c>
    </row>
    <row r="7">
      <c r="B7" s="19" t="inlineStr">
        <is>
          <t>Does every consequential rule it will run have a named owner? (Toolbox No. 7)</t>
        </is>
      </c>
      <c r="C7" s="20" t="inlineStr">
        <is>
          <t>Yes</t>
        </is>
      </c>
    </row>
    <row r="8">
      <c r="B8" s="21">
        <f>IF(OR(C6="No",C7="No"),"Rollout not ready. If either gate is missing, the best manager in the building cannot hold it.",IF(AND(C6="Yes",C7="Yes"),"Both gates passed. Now the decision is about the people who will run it.","Answer both gates."))</f>
        <v/>
      </c>
    </row>
    <row r="10">
      <c r="B10" s="12" t="inlineStr">
        <is>
          <t>THE MANAGEMENT LAYER</t>
        </is>
      </c>
      <c r="C10" s="12" t="inlineStr">
        <is>
          <t>Managers</t>
        </is>
      </c>
      <c r="D10" s="12" t="inlineStr">
        <is>
          <t>People reached</t>
        </is>
      </c>
    </row>
    <row r="11">
      <c r="B11" s="19" t="inlineStr">
        <is>
          <t>Reviewed</t>
        </is>
      </c>
      <c r="C11" s="22">
        <f>COUNTIF(Review!$A$5:$A$44,"?*")</f>
        <v/>
      </c>
      <c r="D11" s="23">
        <f>SUMIF(Review!$A$5:$A$44,"?*",Review!$C$5:$C$44)</f>
        <v/>
      </c>
    </row>
    <row r="12">
      <c r="B12" s="19" t="inlineStr">
        <is>
          <t>Ready</t>
        </is>
      </c>
      <c r="C12" s="22">
        <f>COUNTIF(Review!$U$5:$U$44,"Ready")</f>
        <v/>
      </c>
      <c r="D12" s="23">
        <f>SUMIF(Review!$U$5:$U$44,"Ready",Review!$C$5:$C$44)</f>
        <v/>
      </c>
    </row>
    <row r="13">
      <c r="B13" s="19" t="inlineStr">
        <is>
          <t>Ready with support</t>
        </is>
      </c>
      <c r="C13" s="22">
        <f>COUNTIF(Review!$U$5:$U$44,"Ready with support")</f>
        <v/>
      </c>
      <c r="D13" s="23">
        <f>SUMIF(Review!$U$5:$U$44,"Ready with support",Review!$C$5:$C$44)</f>
        <v/>
      </c>
    </row>
    <row r="14">
      <c r="B14" s="19" t="inlineStr">
        <is>
          <t>Not yet</t>
        </is>
      </c>
      <c r="C14" s="22">
        <f>COUNTIF(Review!$U$5:$U$44,"Not yet")</f>
        <v/>
      </c>
      <c r="D14" s="23">
        <f>SUMIF(Review!$U$5:$U$44,"Not yet",Review!$C$5:$C$44)</f>
        <v/>
      </c>
    </row>
    <row r="15">
      <c r="B15" s="19" t="inlineStr">
        <is>
          <t>Rows with evidence missing</t>
        </is>
      </c>
      <c r="C15" s="22">
        <f>COUNTIFS(Review!$A$5:$A$44,"?*",Review!$R$5:$R$44,"&gt;0")</f>
        <v/>
      </c>
    </row>
    <row r="17">
      <c r="B17" s="12" t="inlineStr">
        <is>
          <t>WHICH BEHAVIOR FAILS MOST</t>
        </is>
      </c>
      <c r="C17" s="12" t="inlineStr">
        <is>
          <t>No</t>
        </is>
      </c>
      <c r="D17" s="12" t="inlineStr">
        <is>
          <t>Sometimes</t>
        </is>
      </c>
      <c r="E17" s="12" t="inlineStr">
        <is>
          <t>Share not Yes</t>
        </is>
      </c>
    </row>
    <row r="18">
      <c r="B18" s="19" t="inlineStr">
        <is>
          <t>Sets written standards</t>
        </is>
      </c>
      <c r="C18" s="22">
        <f>COUNTIF(Review!$D$5:$D$44,"No")</f>
        <v/>
      </c>
      <c r="D18" s="24">
        <f>COUNTIF(Review!$D$5:$D$44,"Sometimes")</f>
        <v/>
      </c>
      <c r="E18" s="25">
        <f>IF($C$11=0,0,(C18+D18)/$C$11)</f>
        <v/>
      </c>
    </row>
    <row r="19">
      <c r="B19" s="19" t="inlineStr">
        <is>
          <t>Catches confident errors</t>
        </is>
      </c>
      <c r="C19" s="22">
        <f>COUNTIF(Review!$F$5:$F$44,"No")</f>
        <v/>
      </c>
      <c r="D19" s="24">
        <f>COUNTIF(Review!$F$5:$F$44,"Sometimes")</f>
        <v/>
      </c>
      <c r="E19" s="25">
        <f>IF($C$11=0,0,(C19+D19)/$C$11)</f>
        <v/>
      </c>
    </row>
    <row r="20">
      <c r="B20" s="19" t="inlineStr">
        <is>
          <t>Overrides and can say why</t>
        </is>
      </c>
      <c r="C20" s="22">
        <f>COUNTIF(Review!$H$5:$H$44,"No")</f>
        <v/>
      </c>
      <c r="D20" s="24">
        <f>COUNTIF(Review!$H$5:$H$44,"Sometimes")</f>
        <v/>
      </c>
      <c r="E20" s="25">
        <f>IF($C$11=0,0,(C20+D20)/$C$11)</f>
        <v/>
      </c>
    </row>
    <row r="21">
      <c r="B21" s="19" t="inlineStr">
        <is>
          <t>Delivers feedback before it piles up</t>
        </is>
      </c>
      <c r="C21" s="22">
        <f>COUNTIF(Review!$J$5:$J$44,"No")</f>
        <v/>
      </c>
      <c r="D21" s="24">
        <f>COUNTIF(Review!$J$5:$J$44,"Sometimes")</f>
        <v/>
      </c>
      <c r="E21" s="25">
        <f>IF($C$11=0,0,(C21+D21)/$C$11)</f>
        <v/>
      </c>
    </row>
    <row r="22">
      <c r="B22" s="19" t="inlineStr">
        <is>
          <t>Runs a consistent conversation</t>
        </is>
      </c>
      <c r="C22" s="22">
        <f>COUNTIF(Review!$L$5:$L$44,"No")</f>
        <v/>
      </c>
      <c r="D22" s="24">
        <f>COUNTIF(Review!$L$5:$L$44,"Sometimes")</f>
        <v/>
      </c>
      <c r="E22" s="25">
        <f>IF($C$11=0,0,(C22+D22)/$C$11)</f>
        <v/>
      </c>
    </row>
    <row r="23">
      <c r="B23" s="19" t="inlineStr">
        <is>
          <t>Coaches and develops, people and agents both</t>
        </is>
      </c>
      <c r="C23" s="22">
        <f>COUNTIF(Review!$N$5:$N$44,"No")</f>
        <v/>
      </c>
      <c r="D23" s="24">
        <f>COUNTIF(Review!$N$5:$N$44,"Sometimes")</f>
        <v/>
      </c>
      <c r="E23" s="25">
        <f>IF($C$11=0,0,(C23+D23)/$C$11)</f>
        <v/>
      </c>
    </row>
    <row r="24">
      <c r="B24" s="26">
        <f>IFERROR("Rehearse first: "&amp;INDEX(B18:B23,MATCH(MAX(E18:E23),E18:E23,0)),"")</f>
        <v/>
      </c>
    </row>
    <row r="26">
      <c r="B26" s="12" t="inlineStr">
        <is>
          <t>SCALES NOW. SAY IT LOUDLY.</t>
        </is>
      </c>
      <c r="C26" s="12" t="inlineStr">
        <is>
          <t>Team</t>
        </is>
      </c>
      <c r="D26" s="12" t="inlineStr">
        <is>
          <t>People reached</t>
        </is>
      </c>
    </row>
    <row r="27">
      <c r="B27" s="27">
        <f t="array" ref="B27">IFERROR(INDEX(Review!$A$5:$A$44,SMALL(IF(Review!$U$5:$U$44="Ready",ROW(Review!$U$5:$U$44)-ROW(Review!$U$5)+1),1))&amp;"","")</f>
        <v/>
      </c>
      <c r="C27" s="27">
        <f t="array" ref="C27">IFERROR(INDEX(Review!$B$5:$B$44,SMALL(IF(Review!$U$5:$U$44="Ready",ROW(Review!$U$5:$U$44)-ROW(Review!$U$5)+1),1))&amp;"","")</f>
        <v/>
      </c>
      <c r="D27" s="27">
        <f t="array" ref="D27">IFERROR(INDEX(Review!$C$5:$C$44,SMALL(IF(Review!$U$5:$U$44="Ready",ROW(Review!$U$5:$U$44)-ROW(Review!$U$5)+1),1)),"")</f>
        <v/>
      </c>
    </row>
    <row r="28">
      <c r="B28" s="27">
        <f t="array" ref="B28">IFERROR(INDEX(Review!$A$5:$A$44,SMALL(IF(Review!$U$5:$U$44="Ready",ROW(Review!$U$5:$U$44)-ROW(Review!$U$5)+1),2))&amp;"","")</f>
        <v/>
      </c>
      <c r="C28" s="27">
        <f t="array" ref="C28">IFERROR(INDEX(Review!$B$5:$B$44,SMALL(IF(Review!$U$5:$U$44="Ready",ROW(Review!$U$5:$U$44)-ROW(Review!$U$5)+1),2))&amp;"","")</f>
        <v/>
      </c>
      <c r="D28" s="27">
        <f t="array" ref="D28">IFERROR(INDEX(Review!$C$5:$C$44,SMALL(IF(Review!$U$5:$U$44="Ready",ROW(Review!$U$5:$U$44)-ROW(Review!$U$5)+1),2)),"")</f>
        <v/>
      </c>
    </row>
    <row r="29">
      <c r="B29" s="27">
        <f t="array" ref="B29">IFERROR(INDEX(Review!$A$5:$A$44,SMALL(IF(Review!$U$5:$U$44="Ready",ROW(Review!$U$5:$U$44)-ROW(Review!$U$5)+1),3))&amp;"","")</f>
        <v/>
      </c>
      <c r="C29" s="27">
        <f t="array" ref="C29">IFERROR(INDEX(Review!$B$5:$B$44,SMALL(IF(Review!$U$5:$U$44="Ready",ROW(Review!$U$5:$U$44)-ROW(Review!$U$5)+1),3))&amp;"","")</f>
        <v/>
      </c>
      <c r="D29" s="27">
        <f t="array" ref="D29">IFERROR(INDEX(Review!$C$5:$C$44,SMALL(IF(Review!$U$5:$U$44="Ready",ROW(Review!$U$5:$U$44)-ROW(Review!$U$5)+1),3)),"")</f>
        <v/>
      </c>
    </row>
    <row r="30">
      <c r="B30" s="27">
        <f t="array" ref="B30">IFERROR(INDEX(Review!$A$5:$A$44,SMALL(IF(Review!$U$5:$U$44="Ready",ROW(Review!$U$5:$U$44)-ROW(Review!$U$5)+1),4))&amp;"","")</f>
        <v/>
      </c>
      <c r="C30" s="27">
        <f t="array" ref="C30">IFERROR(INDEX(Review!$B$5:$B$44,SMALL(IF(Review!$U$5:$U$44="Ready",ROW(Review!$U$5:$U$44)-ROW(Review!$U$5)+1),4))&amp;"","")</f>
        <v/>
      </c>
      <c r="D30" s="27">
        <f t="array" ref="D30">IFERROR(INDEX(Review!$C$5:$C$44,SMALL(IF(Review!$U$5:$U$44="Ready",ROW(Review!$U$5:$U$44)-ROW(Review!$U$5)+1),4)),"")</f>
        <v/>
      </c>
    </row>
    <row r="31">
      <c r="B31" s="27">
        <f t="array" ref="B31">IFERROR(INDEX(Review!$A$5:$A$44,SMALL(IF(Review!$U$5:$U$44="Ready",ROW(Review!$U$5:$U$44)-ROW(Review!$U$5)+1),5))&amp;"","")</f>
        <v/>
      </c>
      <c r="C31" s="27">
        <f t="array" ref="C31">IFERROR(INDEX(Review!$B$5:$B$44,SMALL(IF(Review!$U$5:$U$44="Ready",ROW(Review!$U$5:$U$44)-ROW(Review!$U$5)+1),5))&amp;"","")</f>
        <v/>
      </c>
      <c r="D31" s="27">
        <f t="array" ref="D31">IFERROR(INDEX(Review!$C$5:$C$44,SMALL(IF(Review!$U$5:$U$44="Ready",ROW(Review!$U$5:$U$44)-ROW(Review!$U$5)+1),5)),"")</f>
        <v/>
      </c>
    </row>
    <row r="32">
      <c r="B32" s="27">
        <f t="array" ref="B32">IFERROR(INDEX(Review!$A$5:$A$44,SMALL(IF(Review!$U$5:$U$44="Ready",ROW(Review!$U$5:$U$44)-ROW(Review!$U$5)+1),6))&amp;"","")</f>
        <v/>
      </c>
      <c r="C32" s="27">
        <f t="array" ref="C32">IFERROR(INDEX(Review!$B$5:$B$44,SMALL(IF(Review!$U$5:$U$44="Ready",ROW(Review!$U$5:$U$44)-ROW(Review!$U$5)+1),6))&amp;"","")</f>
        <v/>
      </c>
      <c r="D32" s="27">
        <f t="array" ref="D32">IFERROR(INDEX(Review!$C$5:$C$44,SMALL(IF(Review!$U$5:$U$44="Ready",ROW(Review!$U$5:$U$44)-ROW(Review!$U$5)+1),6)),"")</f>
        <v/>
      </c>
    </row>
    <row r="34">
      <c r="B34" s="12" t="inlineStr">
        <is>
          <t>SCALES WITH SUPPORT</t>
        </is>
      </c>
      <c r="C34" s="12" t="inlineStr">
        <is>
          <t>Coach</t>
        </is>
      </c>
      <c r="D34" s="12" t="inlineStr">
        <is>
          <t>Date</t>
        </is>
      </c>
      <c r="E34" s="12" t="inlineStr">
        <is>
          <t>Next action</t>
        </is>
      </c>
    </row>
    <row r="35">
      <c r="B35" s="27">
        <f t="array" ref="B35">IFERROR(INDEX(Review!$A$5:$A$44,SMALL(IF(Review!$U$5:$U$44="Ready with support",ROW(Review!$U$5:$U$44)-ROW(Review!$U$5)+1),1))&amp;"","")</f>
        <v/>
      </c>
      <c r="C35" s="27">
        <f t="array" ref="C35">IFERROR(INDEX(Review!$V$5:$V$44,SMALL(IF(Review!$U$5:$U$44="Ready with support",ROW(Review!$U$5:$U$44)-ROW(Review!$U$5)+1),1))&amp;"","")</f>
        <v/>
      </c>
      <c r="D35" s="27">
        <f t="array" ref="D35">IFERROR(IF(INDEX(Review!$W$5:$W$44,SMALL(IF(Review!$U$5:$U$44="Ready with support",ROW(Review!$U$5:$U$44)-ROW(Review!$U$5)+1),1))="","",TEXT(INDEX(Review!$W$5:$W$44,SMALL(IF(Review!$U$5:$U$44="Ready with support",ROW(Review!$U$5:$U$44)-ROW(Review!$U$5)+1),1)),"mm/dd/yyyy")),"")</f>
        <v/>
      </c>
      <c r="E35" s="27">
        <f t="array" ref="E35">IFERROR(INDEX(Review!$X$5:$X$44,SMALL(IF(Review!$U$5:$U$44="Ready with support",ROW(Review!$U$5:$U$44)-ROW(Review!$U$5)+1),1))&amp;"","")</f>
        <v/>
      </c>
    </row>
    <row r="36">
      <c r="B36" s="27">
        <f t="array" ref="B36">IFERROR(INDEX(Review!$A$5:$A$44,SMALL(IF(Review!$U$5:$U$44="Ready with support",ROW(Review!$U$5:$U$44)-ROW(Review!$U$5)+1),2))&amp;"","")</f>
        <v/>
      </c>
      <c r="C36" s="27">
        <f t="array" ref="C36">IFERROR(INDEX(Review!$V$5:$V$44,SMALL(IF(Review!$U$5:$U$44="Ready with support",ROW(Review!$U$5:$U$44)-ROW(Review!$U$5)+1),2))&amp;"","")</f>
        <v/>
      </c>
      <c r="D36" s="27">
        <f t="array" ref="D36">IFERROR(IF(INDEX(Review!$W$5:$W$44,SMALL(IF(Review!$U$5:$U$44="Ready with support",ROW(Review!$U$5:$U$44)-ROW(Review!$U$5)+1),2))="","",TEXT(INDEX(Review!$W$5:$W$44,SMALL(IF(Review!$U$5:$U$44="Ready with support",ROW(Review!$U$5:$U$44)-ROW(Review!$U$5)+1),2)),"mm/dd/yyyy")),"")</f>
        <v/>
      </c>
      <c r="E36" s="27">
        <f t="array" ref="E36">IFERROR(INDEX(Review!$X$5:$X$44,SMALL(IF(Review!$U$5:$U$44="Ready with support",ROW(Review!$U$5:$U$44)-ROW(Review!$U$5)+1),2))&amp;"","")</f>
        <v/>
      </c>
    </row>
    <row r="37">
      <c r="B37" s="27">
        <f t="array" ref="B37">IFERROR(INDEX(Review!$A$5:$A$44,SMALL(IF(Review!$U$5:$U$44="Ready with support",ROW(Review!$U$5:$U$44)-ROW(Review!$U$5)+1),3))&amp;"","")</f>
        <v/>
      </c>
      <c r="C37" s="27">
        <f t="array" ref="C37">IFERROR(INDEX(Review!$V$5:$V$44,SMALL(IF(Review!$U$5:$U$44="Ready with support",ROW(Review!$U$5:$U$44)-ROW(Review!$U$5)+1),3))&amp;"","")</f>
        <v/>
      </c>
      <c r="D37" s="27">
        <f t="array" ref="D37">IFERROR(IF(INDEX(Review!$W$5:$W$44,SMALL(IF(Review!$U$5:$U$44="Ready with support",ROW(Review!$U$5:$U$44)-ROW(Review!$U$5)+1),3))="","",TEXT(INDEX(Review!$W$5:$W$44,SMALL(IF(Review!$U$5:$U$44="Ready with support",ROW(Review!$U$5:$U$44)-ROW(Review!$U$5)+1),3)),"mm/dd/yyyy")),"")</f>
        <v/>
      </c>
      <c r="E37" s="27">
        <f t="array" ref="E37">IFERROR(INDEX(Review!$X$5:$X$44,SMALL(IF(Review!$U$5:$U$44="Ready with support",ROW(Review!$U$5:$U$44)-ROW(Review!$U$5)+1),3))&amp;"","")</f>
        <v/>
      </c>
    </row>
    <row r="38">
      <c r="B38" s="27">
        <f t="array" ref="B38">IFERROR(INDEX(Review!$A$5:$A$44,SMALL(IF(Review!$U$5:$U$44="Ready with support",ROW(Review!$U$5:$U$44)-ROW(Review!$U$5)+1),4))&amp;"","")</f>
        <v/>
      </c>
      <c r="C38" s="27">
        <f t="array" ref="C38">IFERROR(INDEX(Review!$V$5:$V$44,SMALL(IF(Review!$U$5:$U$44="Ready with support",ROW(Review!$U$5:$U$44)-ROW(Review!$U$5)+1),4))&amp;"","")</f>
        <v/>
      </c>
      <c r="D38" s="27">
        <f t="array" ref="D38">IFERROR(IF(INDEX(Review!$W$5:$W$44,SMALL(IF(Review!$U$5:$U$44="Ready with support",ROW(Review!$U$5:$U$44)-ROW(Review!$U$5)+1),4))="","",TEXT(INDEX(Review!$W$5:$W$44,SMALL(IF(Review!$U$5:$U$44="Ready with support",ROW(Review!$U$5:$U$44)-ROW(Review!$U$5)+1),4)),"mm/dd/yyyy")),"")</f>
        <v/>
      </c>
      <c r="E38" s="27">
        <f t="array" ref="E38">IFERROR(INDEX(Review!$X$5:$X$44,SMALL(IF(Review!$U$5:$U$44="Ready with support",ROW(Review!$U$5:$U$44)-ROW(Review!$U$5)+1),4))&amp;"","")</f>
        <v/>
      </c>
    </row>
    <row r="39">
      <c r="B39" s="27">
        <f t="array" ref="B39">IFERROR(INDEX(Review!$A$5:$A$44,SMALL(IF(Review!$U$5:$U$44="Ready with support",ROW(Review!$U$5:$U$44)-ROW(Review!$U$5)+1),5))&amp;"","")</f>
        <v/>
      </c>
      <c r="C39" s="27">
        <f t="array" ref="C39">IFERROR(INDEX(Review!$V$5:$V$44,SMALL(IF(Review!$U$5:$U$44="Ready with support",ROW(Review!$U$5:$U$44)-ROW(Review!$U$5)+1),5))&amp;"","")</f>
        <v/>
      </c>
      <c r="D39" s="27">
        <f t="array" ref="D39">IFERROR(IF(INDEX(Review!$W$5:$W$44,SMALL(IF(Review!$U$5:$U$44="Ready with support",ROW(Review!$U$5:$U$44)-ROW(Review!$U$5)+1),5))="","",TEXT(INDEX(Review!$W$5:$W$44,SMALL(IF(Review!$U$5:$U$44="Ready with support",ROW(Review!$U$5:$U$44)-ROW(Review!$U$5)+1),5)),"mm/dd/yyyy")),"")</f>
        <v/>
      </c>
      <c r="E39" s="27">
        <f t="array" ref="E39">IFERROR(INDEX(Review!$X$5:$X$44,SMALL(IF(Review!$U$5:$U$44="Ready with support",ROW(Review!$U$5:$U$44)-ROW(Review!$U$5)+1),5))&amp;"","")</f>
        <v/>
      </c>
    </row>
    <row r="40">
      <c r="B40" s="27">
        <f t="array" ref="B40">IFERROR(INDEX(Review!$A$5:$A$44,SMALL(IF(Review!$U$5:$U$44="Ready with support",ROW(Review!$U$5:$U$44)-ROW(Review!$U$5)+1),6))&amp;"","")</f>
        <v/>
      </c>
      <c r="C40" s="27">
        <f t="array" ref="C40">IFERROR(INDEX(Review!$V$5:$V$44,SMALL(IF(Review!$U$5:$U$44="Ready with support",ROW(Review!$U$5:$U$44)-ROW(Review!$U$5)+1),6))&amp;"","")</f>
        <v/>
      </c>
      <c r="D40" s="27">
        <f t="array" ref="D40">IFERROR(IF(INDEX(Review!$W$5:$W$44,SMALL(IF(Review!$U$5:$U$44="Ready with support",ROW(Review!$U$5:$U$44)-ROW(Review!$U$5)+1),6))="","",TEXT(INDEX(Review!$W$5:$W$44,SMALL(IF(Review!$U$5:$U$44="Ready with support",ROW(Review!$U$5:$U$44)-ROW(Review!$U$5)+1),6)),"mm/dd/yyyy")),"")</f>
        <v/>
      </c>
      <c r="E40" s="27">
        <f t="array" ref="E40">IFERROR(INDEX(Review!$X$5:$X$44,SMALL(IF(Review!$U$5:$U$44="Ready with support",ROW(Review!$U$5:$U$44)-ROW(Review!$U$5)+1),6))&amp;"","")</f>
        <v/>
      </c>
    </row>
    <row r="42">
      <c r="B42" s="12" t="inlineStr">
        <is>
          <t>STAYS AT PILOT SCOPE UNTIL THE GAP CLOSES</t>
        </is>
      </c>
      <c r="C42" s="12" t="inlineStr">
        <is>
          <t>Team</t>
        </is>
      </c>
      <c r="D42" s="12" t="inlineStr">
        <is>
          <t>People reached</t>
        </is>
      </c>
      <c r="E42" s="12" t="inlineStr">
        <is>
          <t>Next action</t>
        </is>
      </c>
    </row>
    <row r="43">
      <c r="B43" s="27">
        <f t="array" ref="B43">IFERROR(INDEX(Review!$A$5:$A$44,SMALL(IF(Review!$U$5:$U$44="Not yet",ROW(Review!$U$5:$U$44)-ROW(Review!$U$5)+1),1))&amp;"","")</f>
        <v/>
      </c>
      <c r="C43" s="27">
        <f t="array" ref="C43">IFERROR(INDEX(Review!$B$5:$B$44,SMALL(IF(Review!$U$5:$U$44="Not yet",ROW(Review!$U$5:$U$44)-ROW(Review!$U$5)+1),1))&amp;"","")</f>
        <v/>
      </c>
      <c r="D43" s="27">
        <f t="array" ref="D43">IFERROR(INDEX(Review!$C$5:$C$44,SMALL(IF(Review!$U$5:$U$44="Not yet",ROW(Review!$U$5:$U$44)-ROW(Review!$U$5)+1),1)),"")</f>
        <v/>
      </c>
      <c r="E43" s="27">
        <f t="array" ref="E43">IFERROR(INDEX(Review!$X$5:$X$44,SMALL(IF(Review!$U$5:$U$44="Not yet",ROW(Review!$U$5:$U$44)-ROW(Review!$U$5)+1),1))&amp;"","")</f>
        <v/>
      </c>
    </row>
    <row r="44">
      <c r="B44" s="27">
        <f t="array" ref="B44">IFERROR(INDEX(Review!$A$5:$A$44,SMALL(IF(Review!$U$5:$U$44="Not yet",ROW(Review!$U$5:$U$44)-ROW(Review!$U$5)+1),2))&amp;"","")</f>
        <v/>
      </c>
      <c r="C44" s="27">
        <f t="array" ref="C44">IFERROR(INDEX(Review!$B$5:$B$44,SMALL(IF(Review!$U$5:$U$44="Not yet",ROW(Review!$U$5:$U$44)-ROW(Review!$U$5)+1),2))&amp;"","")</f>
        <v/>
      </c>
      <c r="D44" s="27">
        <f t="array" ref="D44">IFERROR(INDEX(Review!$C$5:$C$44,SMALL(IF(Review!$U$5:$U$44="Not yet",ROW(Review!$U$5:$U$44)-ROW(Review!$U$5)+1),2)),"")</f>
        <v/>
      </c>
      <c r="E44" s="27">
        <f t="array" ref="E44">IFERROR(INDEX(Review!$X$5:$X$44,SMALL(IF(Review!$U$5:$U$44="Not yet",ROW(Review!$U$5:$U$44)-ROW(Review!$U$5)+1),2))&amp;"","")</f>
        <v/>
      </c>
    </row>
    <row r="45">
      <c r="B45" s="27">
        <f t="array" ref="B45">IFERROR(INDEX(Review!$A$5:$A$44,SMALL(IF(Review!$U$5:$U$44="Not yet",ROW(Review!$U$5:$U$44)-ROW(Review!$U$5)+1),3))&amp;"","")</f>
        <v/>
      </c>
      <c r="C45" s="27">
        <f t="array" ref="C45">IFERROR(INDEX(Review!$B$5:$B$44,SMALL(IF(Review!$U$5:$U$44="Not yet",ROW(Review!$U$5:$U$44)-ROW(Review!$U$5)+1),3))&amp;"","")</f>
        <v/>
      </c>
      <c r="D45" s="27">
        <f t="array" ref="D45">IFERROR(INDEX(Review!$C$5:$C$44,SMALL(IF(Review!$U$5:$U$44="Not yet",ROW(Review!$U$5:$U$44)-ROW(Review!$U$5)+1),3)),"")</f>
        <v/>
      </c>
      <c r="E45" s="27">
        <f t="array" ref="E45">IFERROR(INDEX(Review!$X$5:$X$44,SMALL(IF(Review!$U$5:$U$44="Not yet",ROW(Review!$U$5:$U$44)-ROW(Review!$U$5)+1),3))&amp;"","")</f>
        <v/>
      </c>
    </row>
    <row r="46">
      <c r="B46" s="27">
        <f t="array" ref="B46">IFERROR(INDEX(Review!$A$5:$A$44,SMALL(IF(Review!$U$5:$U$44="Not yet",ROW(Review!$U$5:$U$44)-ROW(Review!$U$5)+1),4))&amp;"","")</f>
        <v/>
      </c>
      <c r="C46" s="27">
        <f t="array" ref="C46">IFERROR(INDEX(Review!$B$5:$B$44,SMALL(IF(Review!$U$5:$U$44="Not yet",ROW(Review!$U$5:$U$44)-ROW(Review!$U$5)+1),4))&amp;"","")</f>
        <v/>
      </c>
      <c r="D46" s="27">
        <f t="array" ref="D46">IFERROR(INDEX(Review!$C$5:$C$44,SMALL(IF(Review!$U$5:$U$44="Not yet",ROW(Review!$U$5:$U$44)-ROW(Review!$U$5)+1),4)),"")</f>
        <v/>
      </c>
      <c r="E46" s="27">
        <f t="array" ref="E46">IFERROR(INDEX(Review!$X$5:$X$44,SMALL(IF(Review!$U$5:$U$44="Not yet",ROW(Review!$U$5:$U$44)-ROW(Review!$U$5)+1),4))&amp;"","")</f>
        <v/>
      </c>
    </row>
    <row r="47">
      <c r="B47" s="27">
        <f t="array" ref="B47">IFERROR(INDEX(Review!$A$5:$A$44,SMALL(IF(Review!$U$5:$U$44="Not yet",ROW(Review!$U$5:$U$44)-ROW(Review!$U$5)+1),5))&amp;"","")</f>
        <v/>
      </c>
      <c r="C47" s="27">
        <f t="array" ref="C47">IFERROR(INDEX(Review!$B$5:$B$44,SMALL(IF(Review!$U$5:$U$44="Not yet",ROW(Review!$U$5:$U$44)-ROW(Review!$U$5)+1),5))&amp;"","")</f>
        <v/>
      </c>
      <c r="D47" s="27">
        <f t="array" ref="D47">IFERROR(INDEX(Review!$C$5:$C$44,SMALL(IF(Review!$U$5:$U$44="Not yet",ROW(Review!$U$5:$U$44)-ROW(Review!$U$5)+1),5)),"")</f>
        <v/>
      </c>
      <c r="E47" s="27">
        <f t="array" ref="E47">IFERROR(INDEX(Review!$X$5:$X$44,SMALL(IF(Review!$U$5:$U$44="Not yet",ROW(Review!$U$5:$U$44)-ROW(Review!$U$5)+1),5))&amp;"","")</f>
        <v/>
      </c>
    </row>
    <row r="48">
      <c r="B48" s="27">
        <f t="array" ref="B48">IFERROR(INDEX(Review!$A$5:$A$44,SMALL(IF(Review!$U$5:$U$44="Not yet",ROW(Review!$U$5:$U$44)-ROW(Review!$U$5)+1),6))&amp;"","")</f>
        <v/>
      </c>
      <c r="C48" s="27">
        <f t="array" ref="C48">IFERROR(INDEX(Review!$B$5:$B$44,SMALL(IF(Review!$U$5:$U$44="Not yet",ROW(Review!$U$5:$U$44)-ROW(Review!$U$5)+1),6))&amp;"","")</f>
        <v/>
      </c>
      <c r="D48" s="27">
        <f t="array" ref="D48">IFERROR(INDEX(Review!$C$5:$C$44,SMALL(IF(Review!$U$5:$U$44="Not yet",ROW(Review!$U$5:$U$44)-ROW(Review!$U$5)+1),6)),"")</f>
        <v/>
      </c>
      <c r="E48" s="27">
        <f t="array" ref="E48">IFERROR(INDEX(Review!$X$5:$X$44,SMALL(IF(Review!$U$5:$U$44="Not yet",ROW(Review!$U$5:$U$44)-ROW(Review!$U$5)+1),6))&amp;"","")</f>
        <v/>
      </c>
    </row>
    <row r="50">
      <c r="B50" s="28" t="inlineStr">
        <is>
          <t>Multiplication becomes a decision instead of momentum, and the decision is about the people who will run it.</t>
        </is>
      </c>
    </row>
    <row r="53">
      <c r="B53" s="11" t="inlineStr">
        <is>
          <t>© 2026 Elizabeth A. Corey. All rights reserved. GROWTH Execution Model™. onthegrow.ai</t>
        </is>
      </c>
    </row>
  </sheetData>
  <mergeCells count="5">
    <mergeCell ref="B2:F2"/>
    <mergeCell ref="B3:F3"/>
    <mergeCell ref="B24:E24"/>
    <mergeCell ref="B8:F8"/>
    <mergeCell ref="B50:F50"/>
  </mergeCells>
  <conditionalFormatting sqref="B8">
    <cfRule type="expression" priority="1" dxfId="4">
      <formula>AND($C$6="Yes",$C$7="Yes")</formula>
    </cfRule>
  </conditionalFormatting>
  <dataValidations count="1">
    <dataValidation sqref="C6:C7" showDropDown="0" showInputMessage="0" showErrorMessage="0" allowBlank="1" type="list">
      <formula1>"Yes,No"</formula1>
    </dataValidation>
  </dataValidations>
  <pageMargins left="0.75" right="0.75" top="1" bottom="1" header="0.5" footer="0.5"/>
  <pageSetup orientation="portrait" fitToHeight="1" fitToWidth="1"/>
  <headerFooter>
    <oddHeader/>
    <oddFooter>&amp;LOnTheGrow Leadership | Manager Readiness Review&amp;RPage &amp;P of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Elizabeth A. Corey</dc:creator>
  <dc:title xmlns:dc="http://purl.org/dc/elements/1.1/">Manager Readiness Review</dc:title>
  <dcterms:created xmlns:dcterms="http://purl.org/dc/terms/" xmlns:xsi="http://www.w3.org/2001/XMLSchema-instance" xsi:type="dcterms:W3CDTF">2026-10-20T03:17:08Z</dcterms:created>
  <dcterms:modified xmlns:dcterms="http://purl.org/dc/terms/" xmlns:xsi="http://www.w3.org/2001/XMLSchema-instance" xsi:type="dcterms:W3CDTF">2026-10-20T03:17:08Z</dcterms:modified>
</cp:coreProperties>
</file>