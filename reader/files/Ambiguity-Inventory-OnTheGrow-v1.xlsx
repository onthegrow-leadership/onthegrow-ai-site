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Inventory" sheetId="2" state="visible" r:id="rId2"/>
    <sheet xmlns:r="http://schemas.openxmlformats.org/officeDocument/2006/relationships" name="Summary" sheetId="3" state="visible" r:id="rId3"/>
  </sheets>
  <definedNames>
    <definedName name="_xlnm.Print_Titles" localSheetId="1">'Inventory'!$5:$5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FF36294F"/>
      <sz val="20"/>
    </font>
    <font>
      <name val="Arial"/>
      <i val="1"/>
      <color rgb="FF39989E"/>
      <sz val="11"/>
    </font>
    <font>
      <name val="Arial"/>
      <color rgb="FF55505F"/>
      <sz val="8"/>
    </font>
    <font>
      <name val="Arial"/>
      <b val="1"/>
      <color rgb="FFFFFFFF"/>
      <sz val="11"/>
    </font>
    <font>
      <name val="Arial"/>
      <color rgb="FF26222E"/>
      <sz val="10"/>
    </font>
    <font>
      <name val="Arial"/>
      <b val="1"/>
      <color rgb="FFFFFFFF"/>
      <sz val="12"/>
    </font>
    <font>
      <name val="Arial"/>
      <b val="1"/>
      <color rgb="FF36294F"/>
      <sz val="10"/>
    </font>
    <font>
      <name val="Arial"/>
      <b val="1"/>
      <color rgb="FF36294F"/>
      <sz val="16"/>
    </font>
    <font>
      <name val="Arial"/>
      <i val="1"/>
      <color rgb="FF55505F"/>
      <sz val="9"/>
    </font>
    <font>
      <name val="Arial"/>
      <b val="1"/>
      <color rgb="FFFFFFFF"/>
      <sz val="10"/>
    </font>
    <font>
      <name val="Arial"/>
      <b val="1"/>
      <color rgb="FFFFFFFF"/>
      <sz val="9"/>
    </font>
    <font>
      <name val="Arial"/>
      <color rgb="FF26222E"/>
      <sz val="9"/>
    </font>
    <font>
      <name val="Arial"/>
      <b val="1"/>
      <color rgb="FF26222E"/>
      <sz val="9"/>
    </font>
    <font>
      <name val="Arial"/>
      <b val="1"/>
      <color rgb="FF26222E"/>
      <sz val="10"/>
    </font>
    <font>
      <name val="Arial"/>
      <i val="1"/>
      <color rgb="FF36294F"/>
      <sz val="9"/>
    </font>
  </fonts>
  <fills count="6">
    <fill>
      <patternFill/>
    </fill>
    <fill>
      <patternFill patternType="gray125"/>
    </fill>
    <fill>
      <patternFill patternType="solid">
        <fgColor rgb="FFB42318"/>
      </patternFill>
    </fill>
    <fill>
      <patternFill patternType="solid">
        <fgColor rgb="FF36294F"/>
      </patternFill>
    </fill>
    <fill>
      <patternFill patternType="solid">
        <fgColor rgb="FF39989E"/>
      </patternFill>
    </fill>
    <fill>
      <patternFill patternType="solid">
        <fgColor rgb="FFFFF2CC"/>
      </patternFill>
    </fill>
  </fills>
  <borders count="2">
    <border>
      <left/>
      <right/>
      <top/>
      <bottom/>
      <diagonal/>
    </border>
    <border>
      <left style="thin">
        <color rgb="FFD9D5E2"/>
      </left>
      <right style="thin">
        <color rgb="FFD9D5E2"/>
      </right>
      <top style="thin">
        <color rgb="FFD9D5E2"/>
      </top>
      <bottom style="thin">
        <color rgb="FFD9D5E2"/>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0" fillId="2"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vertical="top" wrapText="1"/>
    </xf>
    <xf numFmtId="0" fontId="0" fillId="3" borderId="0" applyAlignment="1" pivotButton="0" quotePrefix="0" xfId="0">
      <alignment vertical="top" wrapText="1"/>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3" fillId="0" borderId="0" pivotButton="0" quotePrefix="0" xfId="0"/>
    <xf numFmtId="0" fontId="10" fillId="2" borderId="0" pivotButton="0" quotePrefix="0" xfId="0"/>
    <xf numFmtId="0" fontId="11" fillId="3"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5" borderId="1" applyAlignment="1" pivotButton="0" quotePrefix="0" xfId="0">
      <alignment horizontal="center" vertical="top" wrapText="1"/>
    </xf>
    <xf numFmtId="0" fontId="12" fillId="5" borderId="1" applyAlignment="1" pivotButton="0" quotePrefix="0" xfId="0">
      <alignment vertical="top" wrapText="1"/>
    </xf>
    <xf numFmtId="0" fontId="13" fillId="0" borderId="1" applyAlignment="1" pivotButton="0" quotePrefix="0" xfId="0">
      <alignment horizontal="center" vertical="top" wrapText="1"/>
    </xf>
    <xf numFmtId="0" fontId="12" fillId="0" borderId="1" applyAlignment="1" pivotButton="0" quotePrefix="0" xfId="0">
      <alignment vertical="top" wrapText="1"/>
    </xf>
    <xf numFmtId="0" fontId="5" fillId="0" borderId="1" applyAlignment="1" pivotButton="0" quotePrefix="0" xfId="0">
      <alignment vertical="center" wrapText="1"/>
    </xf>
    <xf numFmtId="1" fontId="14" fillId="0" borderId="1" applyAlignment="1" pivotButton="0" quotePrefix="0" xfId="0">
      <alignment horizontal="center" vertical="center" wrapText="1"/>
    </xf>
    <xf numFmtId="0" fontId="5" fillId="0" borderId="1" applyAlignment="1" pivotButton="0" quotePrefix="0" xfId="0">
      <alignment vertical="top" wrapText="1"/>
    </xf>
    <xf numFmtId="0" fontId="15" fillId="0" borderId="0" applyAlignment="1" pivotButton="0" quotePrefix="0" xfId="0">
      <alignment vertical="top" wrapText="1"/>
    </xf>
  </cellXfs>
  <cellStyles count="1">
    <cellStyle name="Normal" xfId="0" builtinId="0" hidden="0"/>
  </cellStyles>
  <dxfs count="2">
    <dxf>
      <font>
        <b val="1"/>
        <color rgb="FFB42318"/>
      </font>
      <fill>
        <patternFill patternType="solid">
          <bgColor rgb="FFFDE8E8"/>
        </patternFill>
      </fill>
    </dxf>
    <dxf>
      <font>
        <b val="1"/>
        <color rgb="FF2B7A7F"/>
      </font>
      <fill>
        <patternFill patternType="solid">
          <bgColor rgb="FFEAF5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C24"/>
  <sheetViews>
    <sheetView showGridLines="0" workbookViewId="0">
      <selection activeCell="A1" sqref="A1"/>
    </sheetView>
  </sheetViews>
  <sheetFormatPr baseColWidth="8" defaultRowHeight="15"/>
  <cols>
    <col width="3" customWidth="1" min="1" max="1"/>
    <col width="30" customWidth="1" min="2" max="2"/>
    <col width="95" customWidth="1" min="3" max="3"/>
  </cols>
  <sheetData>
    <row r="1" ht="30" customHeight="1">
      <c r="B1" s="1" t="inlineStr">
        <is>
          <t>The Ambiguity Inventory</t>
        </is>
      </c>
      <c r="C1" s="2" t="n"/>
    </row>
    <row r="2" ht="30" customHeight="1">
      <c r="B2" s="3" t="inlineStr">
        <is>
          <t>From AI Will Scale Good Leadership and Bad Leadership: The CHRO’s Method for Redesigning Work Before AI Scales What’s Broken, by Liz Corey  |  Toolbox No. 13  |  OnTheGrow Leadership</t>
        </is>
      </c>
      <c r="C2" s="2" t="n"/>
    </row>
    <row r="3">
      <c r="B3" s="4" t="inlineStr">
        <is>
          <t>© 2026 Elizabeth A. Corey. All rights reserved. GROWTH Execution Model™. onthegrow.ai</t>
        </is>
      </c>
      <c r="C3" s="2" t="n"/>
    </row>
    <row r="4">
      <c r="B4" s="5" t="inlineStr">
        <is>
          <t>PRIVATE. Use it. Don’t publish it.  This list names who benefits from the fog. It is a working document for the CHRO, not a deliverable.</t>
        </is>
      </c>
      <c r="C4" s="6" t="n"/>
    </row>
    <row r="6" ht="60" customHeight="1">
      <c r="B6" s="7" t="inlineStr">
        <is>
          <t>Ambiguity has beneficiaries. When the rules are unclear, discretion decides, and the people who hold the discretion rarely volunteer to give it up. List the policies, standards, and decisions your AI effort will force into single versions. For each, name who currently benefits from the fog, and whether the fog is protecting power or protecting a customer. That list is your real stakeholder map, and it predicts your resistance better than any survey.</t>
        </is>
      </c>
      <c r="C6" s="2" t="n"/>
    </row>
    <row r="8">
      <c r="B8" s="8" t="inlineStr">
        <is>
          <t>HOW THIS WORKBOOK IS SET UP</t>
        </is>
      </c>
      <c r="C8" s="9" t="n"/>
    </row>
    <row r="9">
      <c r="B9" s="10" t="inlineStr">
        <is>
          <t>Inventory</t>
        </is>
      </c>
      <c r="C9" s="7" t="inlineStr">
        <is>
          <t>One row per policy, standard, or decision that AI will force into a single version. Name the beneficiary and what the fog protects. The workbook flags the rows where your own function is the beneficiary.</t>
        </is>
      </c>
    </row>
    <row r="10">
      <c r="B10" s="10" t="inlineStr">
        <is>
          <t>Summary</t>
        </is>
      </c>
      <c r="C10" s="7" t="inlineStr">
        <is>
          <t>Counts by what the fog protects, the conversations to have privately, the wins to sequence first, and the stalls you should stop diagnosing as technology problems.</t>
        </is>
      </c>
    </row>
    <row r="11">
      <c r="B11" s="10" t="inlineStr">
        <is>
          <t>Example rows</t>
        </is>
      </c>
      <c r="C11" s="7" t="inlineStr">
        <is>
          <t>Eight items drawn from the book's own cases are filled in, with one where HR is the beneficiary. Replace them with your own.</t>
        </is>
      </c>
    </row>
    <row r="12">
      <c r="B12" s="10" t="inlineStr">
        <is>
          <t>Yellow cells</t>
        </is>
      </c>
      <c r="C12" s="7" t="inlineStr">
        <is>
          <t>Type in the yellow cells only. Every other cell is a formula.</t>
        </is>
      </c>
    </row>
    <row r="14">
      <c r="B14" s="8" t="inlineStr">
        <is>
          <t>HOW TO RUN IT</t>
        </is>
      </c>
      <c r="C14" s="9" t="n"/>
    </row>
    <row r="15">
      <c r="B15" s="10" t="inlineStr">
        <is>
          <t>1. List what AI will disambiguate</t>
        </is>
      </c>
      <c r="C15" s="7" t="inlineStr">
        <is>
          <t>Every policy with more than one version, every rule nobody can explain, every decision made by discretion. Start with the items from your Knowledge Readiness Test and Decision Rights Matrix that scored worst.</t>
        </is>
      </c>
    </row>
    <row r="16">
      <c r="B16" s="10" t="inlineStr">
        <is>
          <t>2. Name who benefits from the fog</t>
        </is>
      </c>
      <c r="C16" s="7" t="inlineStr">
        <is>
          <t>A person or a role. If the honest answer is nobody by intent, say so. Inherited fog is real, and it is the easiest kind to clear.</t>
        </is>
      </c>
    </row>
    <row r="17">
      <c r="B17" s="10" t="inlineStr">
        <is>
          <t>3. Decide what the fog protects</t>
        </is>
      </c>
      <c r="C17" s="7" t="inlineStr">
        <is>
          <t>Power: discretion someone would rather keep. A customer: a legitimate local requirement the single version must accommodate. Not everyone defending a gray area is protecting power. This column tells you which.</t>
        </is>
      </c>
    </row>
    <row r="18">
      <c r="B18" s="10" t="inlineStr">
        <is>
          <t>4. Use it, don't publish it</t>
        </is>
      </c>
      <c r="C18" s="7" t="inlineStr">
        <is>
          <t>It tells you which conversations to have privately, which wins to sequence first, and which stalls to stop diagnosing as technology problems.</t>
        </is>
      </c>
    </row>
    <row r="19">
      <c r="B19" s="10" t="inlineStr">
        <is>
          <t>5. Handle your own function first</t>
        </is>
      </c>
      <c r="C19" s="7" t="inlineStr">
        <is>
          <t>When you find HR on the list, and you might, that row goes first. Leaders who defend ambiguity and HR professionals who won't challenge them are the same disease in two org charts.</t>
        </is>
      </c>
    </row>
    <row r="21">
      <c r="B21" s="8" t="inlineStr">
        <is>
          <t>THE CHRO’S MOVE</t>
        </is>
      </c>
      <c r="C21" s="9" t="n"/>
    </row>
    <row r="22">
      <c r="B22" s="10" t="inlineStr">
        <is>
          <t>One month</t>
        </is>
      </c>
      <c r="C22" s="7" t="inlineStr">
        <is>
          <t>Build the list for your current AI initiatives and put names beside the fog. Then get your CEO to deliver the three-part message (see the No-Surprises Protocol) before any more rollouts.</t>
        </is>
      </c>
    </row>
    <row r="24">
      <c r="B24" s="4" t="inlineStr">
        <is>
          <t>© 2026 Elizabeth A. Corey. All rights reserved. GROWTH Execution Model™. onthegrow.ai</t>
        </is>
      </c>
      <c r="C24" s="2" t="n"/>
    </row>
  </sheetData>
  <mergeCells count="9">
    <mergeCell ref="B6:C6"/>
    <mergeCell ref="B21:C21"/>
    <mergeCell ref="B2:C2"/>
    <mergeCell ref="B24:C24"/>
    <mergeCell ref="B3:C3"/>
    <mergeCell ref="B14:C14"/>
    <mergeCell ref="B1:C1"/>
    <mergeCell ref="B8:C8"/>
    <mergeCell ref="B4:C4"/>
  </mergeCells>
  <pageMargins left="0.75" right="0.75" top="1" bottom="1" header="0.5" footer="0.5"/>
  <pageSetup orientation="landscape" fitToHeight="0" fitToWidth="1"/>
  <headerFooter>
    <oddHeader>&amp;C&amp;BPRIVATE. Use it. Don’t publish it.</oddHeader>
    <oddFooter>&amp;LOnTheGrow Leadership | Ambiguity Inventory&amp;RPage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M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8" customWidth="1" min="3" max="3"/>
    <col width="26" customWidth="1" min="4" max="4"/>
    <col width="13" customWidth="1" min="5" max="5"/>
    <col width="28" customWidth="1" min="6" max="6"/>
    <col width="26" customWidth="1" min="7" max="7"/>
    <col width="30" customWidth="1" min="8" max="8"/>
    <col width="26" customWidth="1" min="9" max="9"/>
    <col width="13" customWidth="1" min="10" max="10"/>
    <col width="10" customWidth="1" min="11" max="11"/>
    <col width="9" customWidth="1" min="12" max="12"/>
    <col width="34" customWidth="1" min="13" max="13"/>
  </cols>
  <sheetData>
    <row r="1">
      <c r="A1" s="11" t="inlineStr">
        <is>
          <t>The Ambiguity Inventory</t>
        </is>
      </c>
    </row>
    <row r="2" ht="28" customHeight="1">
      <c r="A2" s="12" t="inlineStr">
        <is>
          <t>HOW TO USE THIS TAB: One row per item. Type in the yellow cells. Pick Power or A customer in the fog column. Teal columns calculate. The rows are an example; replace them.</t>
        </is>
      </c>
    </row>
    <row r="3">
      <c r="A3" s="13" t="inlineStr">
        <is>
          <t>© 2026 Elizabeth A. Corey. All rights reserved. GROWTH Execution Model™. onthegrow.ai</t>
        </is>
      </c>
    </row>
    <row r="4">
      <c r="A4" s="14" t="inlineStr">
        <is>
          <t>PRIVATE. Use it. Don’t publish it.  It names who benefits from the fog. Keep it with the CHRO.</t>
        </is>
      </c>
    </row>
    <row r="5" ht="44" customHeight="1">
      <c r="A5" s="15" t="inlineStr">
        <is>
          <t>ID</t>
        </is>
      </c>
      <c r="B5" s="15" t="inlineStr">
        <is>
          <t>Policy, standard, or decision AI will force into one version</t>
        </is>
      </c>
      <c r="C5" s="15" t="inlineStr">
        <is>
          <t>The fog today (how many versions, where)</t>
        </is>
      </c>
      <c r="D5" s="15" t="inlineStr">
        <is>
          <t>Who benefits from the fog</t>
        </is>
      </c>
      <c r="E5" s="15" t="inlineStr">
        <is>
          <t>What the fog protects</t>
        </is>
      </c>
      <c r="F5" s="15" t="inlineStr">
        <is>
          <t>The single version would be</t>
        </is>
      </c>
      <c r="G5" s="15" t="inlineStr">
        <is>
          <t>Likely to stall what</t>
        </is>
      </c>
      <c r="H5" s="15" t="inlineStr">
        <is>
          <t>The private conversation, and with whom</t>
        </is>
      </c>
      <c r="I5" s="15" t="inlineStr">
        <is>
          <t>The win to sequence first</t>
        </is>
      </c>
      <c r="J5" s="15" t="inlineStr">
        <is>
          <t>Status</t>
        </is>
      </c>
      <c r="K5" s="16" t="inlineStr">
        <is>
          <t>Your own function?</t>
        </is>
      </c>
      <c r="L5" s="16" t="inlineStr">
        <is>
          <t>Priority</t>
        </is>
      </c>
      <c r="M5" s="16" t="inlineStr">
        <is>
          <t>Next action</t>
        </is>
      </c>
    </row>
    <row r="6">
      <c r="A6" s="17" t="inlineStr">
        <is>
          <t>A01</t>
        </is>
      </c>
      <c r="B6" s="18" t="inlineStr">
        <is>
          <t>Short-term disability policy</t>
        </is>
      </c>
      <c r="C6" s="18" t="inlineStr">
        <is>
          <t>Three versions: handbook, intranet, and a forwarded PDF</t>
        </is>
      </c>
      <c r="D6" s="18" t="inlineStr">
        <is>
          <t>Division HR leads who apply whichever version suits the case</t>
        </is>
      </c>
      <c r="E6" s="17" t="inlineStr">
        <is>
          <t>A customer</t>
        </is>
      </c>
      <c r="F6" s="18" t="inlineStr">
        <is>
          <t>One policy, one owner, effective date on it</t>
        </is>
      </c>
      <c r="G6" s="18" t="inlineStr">
        <is>
          <t>Grounding the benefits agent</t>
        </is>
      </c>
      <c r="H6" s="18" t="inlineStr">
        <is>
          <t>Division HR leads: which version is right, and who owns it from here</t>
        </is>
      </c>
      <c r="I6" s="18" t="inlineStr">
        <is>
          <t>The agent answers from one policy on day one</t>
        </is>
      </c>
      <c r="J6" s="17" t="inlineStr">
        <is>
          <t>Open</t>
        </is>
      </c>
      <c r="K6" s="19">
        <f>IF(B6="","",IF(OR(ISNUMBER(SEARCH("HR itself",D6)),ISNUMBER(SEARCH("our function",D6)),ISNUMBER(SEARCH("HR's own",B6))),"Yes","No"))</f>
        <v/>
      </c>
      <c r="L6" s="19">
        <f>IF(OR(B6="",J6="Resolved"),"",IF(K6="Yes","First",IF(E6="Power","High","Design")))</f>
        <v/>
      </c>
      <c r="M6" s="20">
        <f>IF(B6="","",IF(J6="Resolved","Resolved. Share the win within the week.",IF(K6="Yes","Your own function is on the list. Handle this one first, and say so.",IF(D6="","Name who benefits. If nobody by intent, write that.",IF(E6="","Decide what the fog protects: power, or a customer.",IF(E6="A customer","Design the single version to accommodate the real requirement. Involve the person defending it.",IF(H6="","Name the private conversation and who it is with.","Have the private conversation before the single version is announced.")))))))</f>
        <v/>
      </c>
    </row>
    <row r="7">
      <c r="A7" s="17" t="inlineStr">
        <is>
          <t>A02</t>
        </is>
      </c>
      <c r="B7" s="18" t="inlineStr">
        <is>
          <t>Sunday premium pay rule</t>
        </is>
      </c>
      <c r="C7" s="18" t="inlineStr">
        <is>
          <t>Configured years ago; nobody can say who wrote it</t>
        </is>
      </c>
      <c r="D7" s="18" t="inlineStr">
        <is>
          <t>The division where it quietly pays more</t>
        </is>
      </c>
      <c r="E7" s="17" t="inlineStr">
        <is>
          <t>Power</t>
        </is>
      </c>
      <c r="F7" s="18" t="inlineStr">
        <is>
          <t>One rule, defined, validated, owned</t>
        </is>
      </c>
      <c r="G7" s="18" t="inlineStr">
        <is>
          <t>Payroll agent; decision rights register</t>
        </is>
      </c>
      <c r="H7" s="18" t="inlineStr">
        <is>
          <t>Division operations manager, before the register is shared</t>
        </is>
      </c>
      <c r="I7" s="18" t="n"/>
      <c r="J7" s="17" t="inlineStr">
        <is>
          <t>Open</t>
        </is>
      </c>
      <c r="K7" s="19">
        <f>IF(B7="","",IF(OR(ISNUMBER(SEARCH("HR itself",D7)),ISNUMBER(SEARCH("our function",D7)),ISNUMBER(SEARCH("HR's own",B7))),"Yes","No"))</f>
        <v/>
      </c>
      <c r="L7" s="19">
        <f>IF(OR(B7="",J7="Resolved"),"",IF(K7="Yes","First",IF(E7="Power","High","Design")))</f>
        <v/>
      </c>
      <c r="M7" s="20">
        <f>IF(B7="","",IF(J7="Resolved","Resolved. Share the win within the week.",IF(K7="Yes","Your own function is on the list. Handle this one first, and say so.",IF(D7="","Name who benefits. If nobody by intent, write that.",IF(E7="","Decide what the fog protects: power, or a customer.",IF(E7="A customer","Design the single version to accommodate the real requirement. Involve the person defending it.",IF(H7="","Name the private conversation and who it is with.","Have the private conversation before the single version is announced.")))))))</f>
        <v/>
      </c>
    </row>
    <row r="8">
      <c r="A8" s="17" t="inlineStr">
        <is>
          <t>A03</t>
        </is>
      </c>
      <c r="B8" s="18" t="inlineStr">
        <is>
          <t>Who approves tuition reimbursement</t>
        </is>
      </c>
      <c r="C8" s="18" t="inlineStr">
        <is>
          <t>Two approvers, then payroll; nobody can say why two</t>
        </is>
      </c>
      <c r="D8" s="18" t="inlineStr">
        <is>
          <t>The second approver, whose sign-off is their only visibility into the program</t>
        </is>
      </c>
      <c r="E8" s="17" t="inlineStr">
        <is>
          <t>Power</t>
        </is>
      </c>
      <c r="F8" s="18" t="inlineStr">
        <is>
          <t>One approval, by the one person whose judgment matters</t>
        </is>
      </c>
      <c r="G8" s="18" t="inlineStr">
        <is>
          <t>Tuition reimbursement redesign</t>
        </is>
      </c>
      <c r="H8" s="18" t="inlineStr">
        <is>
          <t>The second approver: a different role in the redesigned flow</t>
        </is>
      </c>
      <c r="I8" s="18" t="inlineStr">
        <is>
          <t>First redesigned process to pass both tests</t>
        </is>
      </c>
      <c r="J8" s="17" t="inlineStr">
        <is>
          <t>In conversation</t>
        </is>
      </c>
      <c r="K8" s="19">
        <f>IF(B8="","",IF(OR(ISNUMBER(SEARCH("HR itself",D8)),ISNUMBER(SEARCH("our function",D8)),ISNUMBER(SEARCH("HR's own",B8))),"Yes","No"))</f>
        <v/>
      </c>
      <c r="L8" s="19">
        <f>IF(OR(B8="",J8="Resolved"),"",IF(K8="Yes","First",IF(E8="Power","High","Design")))</f>
        <v/>
      </c>
      <c r="M8" s="20">
        <f>IF(B8="","",IF(J8="Resolved","Resolved. Share the win within the week.",IF(K8="Yes","Your own function is on the list. Handle this one first, and say so.",IF(D8="","Name who benefits. If nobody by intent, write that.",IF(E8="","Decide what the fog protects: power, or a customer.",IF(E8="A customer","Design the single version to accommodate the real requirement. Involve the person defending it.",IF(H8="","Name the private conversation and who it is with.","Have the private conversation before the single version is announced.")))))))</f>
        <v/>
      </c>
    </row>
    <row r="9">
      <c r="A9" s="17" t="inlineStr">
        <is>
          <t>A04</t>
        </is>
      </c>
      <c r="B9" s="18" t="inlineStr">
        <is>
          <t>Remote work policy</t>
        </is>
      </c>
      <c r="C9" s="18" t="inlineStr">
        <is>
          <t>Lives in manager emails and a draft that never shipped</t>
        </is>
      </c>
      <c r="D9" s="18" t="inlineStr">
        <is>
          <t>Managers who grant exceptions case by case</t>
        </is>
      </c>
      <c r="E9" s="17" t="inlineStr">
        <is>
          <t>Power</t>
        </is>
      </c>
      <c r="F9" s="18" t="inlineStr">
        <is>
          <t>One written policy with named exceptions</t>
        </is>
      </c>
      <c r="G9" s="18" t="inlineStr">
        <is>
          <t>Grounding any HR assistant; the Listening Set role clarity item</t>
        </is>
      </c>
      <c r="H9" s="18" t="inlineStr">
        <is>
          <t>Each manager granting exceptions, one at a time</t>
        </is>
      </c>
      <c r="I9" s="18" t="n"/>
      <c r="J9" s="17" t="inlineStr">
        <is>
          <t>Open</t>
        </is>
      </c>
      <c r="K9" s="19">
        <f>IF(B9="","",IF(OR(ISNUMBER(SEARCH("HR itself",D9)),ISNUMBER(SEARCH("our function",D9)),ISNUMBER(SEARCH("HR's own",B9))),"Yes","No"))</f>
        <v/>
      </c>
      <c r="L9" s="19">
        <f>IF(OR(B9="",J9="Resolved"),"",IF(K9="Yes","First",IF(E9="Power","High","Design")))</f>
        <v/>
      </c>
      <c r="M9" s="20">
        <f>IF(B9="","",IF(J9="Resolved","Resolved. Share the win within the week.",IF(K9="Yes","Your own function is on the list. Handle this one first, and say so.",IF(D9="","Name who benefits. If nobody by intent, write that.",IF(E9="","Decide what the fog protects: power, or a customer.",IF(E9="A customer","Design the single version to accommodate the real requirement. Involve the person defending it.",IF(H9="","Name the private conversation and who it is with.","Have the private conversation before the single version is announced.")))))))</f>
        <v/>
      </c>
    </row>
    <row r="10">
      <c r="A10" s="17" t="inlineStr">
        <is>
          <t>A05</t>
        </is>
      </c>
      <c r="B10" s="18" t="inlineStr">
        <is>
          <t>Applicant screening criteria</t>
        </is>
      </c>
      <c r="C10" s="18" t="inlineStr">
        <is>
          <t>Recruiters and hiring managers each apply their own</t>
        </is>
      </c>
      <c r="D10" s="18" t="inlineStr">
        <is>
          <t>Hiring managers who prefer their own filters</t>
        </is>
      </c>
      <c r="E10" s="17" t="inlineStr">
        <is>
          <t>A customer</t>
        </is>
      </c>
      <c r="F10" s="18" t="inlineStr">
        <is>
          <t>A written performance profile per role</t>
        </is>
      </c>
      <c r="G10" s="18" t="inlineStr">
        <is>
          <t>Ranking agent in recruiting</t>
        </is>
      </c>
      <c r="H10" s="18" t="inlineStr">
        <is>
          <t>Hiring managers: the profile is theirs to write, the ranking is the agent's to do</t>
        </is>
      </c>
      <c r="I10" s="18" t="inlineStr">
        <is>
          <t>Shortlisting moves from Human to Assist</t>
        </is>
      </c>
      <c r="J10" s="17" t="inlineStr">
        <is>
          <t>In conversation</t>
        </is>
      </c>
      <c r="K10" s="19">
        <f>IF(B10="","",IF(OR(ISNUMBER(SEARCH("HR itself",D10)),ISNUMBER(SEARCH("our function",D10)),ISNUMBER(SEARCH("HR's own",B10))),"Yes","No"))</f>
        <v/>
      </c>
      <c r="L10" s="19">
        <f>IF(OR(B10="",J10="Resolved"),"",IF(K10="Yes","First",IF(E10="Power","High","Design")))</f>
        <v/>
      </c>
      <c r="M10" s="20">
        <f>IF(B10="","",IF(J10="Resolved","Resolved. Share the win within the week.",IF(K10="Yes","Your own function is on the list. Handle this one first, and say so.",IF(D10="","Name who benefits. If nobody by intent, write that.",IF(E10="","Decide what the fog protects: power, or a customer.",IF(E10="A customer","Design the single version to accommodate the real requirement. Involve the person defending it.",IF(H10="","Name the private conversation and who it is with.","Have the private conversation before the single version is announced.")))))))</f>
        <v/>
      </c>
    </row>
    <row r="11">
      <c r="A11" s="17" t="inlineStr">
        <is>
          <t>A06</t>
        </is>
      </c>
      <c r="B11" s="18" t="inlineStr">
        <is>
          <t>Overtime calculation</t>
        </is>
      </c>
      <c r="C11" s="18" t="inlineStr">
        <is>
          <t>Payroll configuration and the handbook disagree</t>
        </is>
      </c>
      <c r="D11" s="18" t="inlineStr">
        <is>
          <t>Nobody by intent; the fog is inherited</t>
        </is>
      </c>
      <c r="E11" s="17" t="inlineStr">
        <is>
          <t>A customer</t>
        </is>
      </c>
      <c r="F11" s="18" t="inlineStr">
        <is>
          <t>One rule that matches the law and the handbook</t>
        </is>
      </c>
      <c r="G11" s="18" t="inlineStr">
        <is>
          <t>Payroll agent</t>
        </is>
      </c>
      <c r="H11" s="18" t="inlineStr">
        <is>
          <t>Payroll manager and employment counsel</t>
        </is>
      </c>
      <c r="I11" s="18" t="n"/>
      <c r="J11" s="17" t="inlineStr">
        <is>
          <t>Resolved</t>
        </is>
      </c>
      <c r="K11" s="19">
        <f>IF(B11="","",IF(OR(ISNUMBER(SEARCH("HR itself",D11)),ISNUMBER(SEARCH("our function",D11)),ISNUMBER(SEARCH("HR's own",B11))),"Yes","No"))</f>
        <v/>
      </c>
      <c r="L11" s="19">
        <f>IF(OR(B11="",J11="Resolved"),"",IF(K11="Yes","First",IF(E11="Power","High","Design")))</f>
        <v/>
      </c>
      <c r="M11" s="20">
        <f>IF(B11="","",IF(J11="Resolved","Resolved. Share the win within the week.",IF(K11="Yes","Your own function is on the list. Handle this one first, and say so.",IF(D11="","Name who benefits. If nobody by intent, write that.",IF(E11="","Decide what the fog protects: power, or a customer.",IF(E11="A customer","Design the single version to accommodate the real requirement. Involve the person defending it.",IF(H11="","Name the private conversation and who it is with.","Have the private conversation before the single version is announced.")))))))</f>
        <v/>
      </c>
    </row>
    <row r="12">
      <c r="A12" s="17" t="inlineStr">
        <is>
          <t>A07</t>
        </is>
      </c>
      <c r="B12" s="18" t="inlineStr">
        <is>
          <t>Performance review standard</t>
        </is>
      </c>
      <c r="C12" s="18" t="inlineStr">
        <is>
          <t>A slide deck from last year's kickoff</t>
        </is>
      </c>
      <c r="D12" s="18" t="inlineStr">
        <is>
          <t>Managers who rate on feel</t>
        </is>
      </c>
      <c r="E12" s="17" t="inlineStr">
        <is>
          <t>Power</t>
        </is>
      </c>
      <c r="F12" s="18" t="inlineStr">
        <is>
          <t>A written standard of what good output looks like</t>
        </is>
      </c>
      <c r="G12" s="18" t="inlineStr">
        <is>
          <t>Manager Readiness Review; any AI-drafted review</t>
        </is>
      </c>
      <c r="H12" s="18" t="inlineStr">
        <is>
          <t>Each manager, at the readiness review</t>
        </is>
      </c>
      <c r="I12" s="18" t="n"/>
      <c r="J12" s="17" t="inlineStr">
        <is>
          <t>Open</t>
        </is>
      </c>
      <c r="K12" s="19">
        <f>IF(B12="","",IF(OR(ISNUMBER(SEARCH("HR itself",D12)),ISNUMBER(SEARCH("our function",D12)),ISNUMBER(SEARCH("HR's own",B12))),"Yes","No"))</f>
        <v/>
      </c>
      <c r="L12" s="19">
        <f>IF(OR(B12="",J12="Resolved"),"",IF(K12="Yes","First",IF(E12="Power","High","Design")))</f>
        <v/>
      </c>
      <c r="M12" s="20">
        <f>IF(B12="","",IF(J12="Resolved","Resolved. Share the win within the week.",IF(K12="Yes","Your own function is on the list. Handle this one first, and say so.",IF(D12="","Name who benefits. If nobody by intent, write that.",IF(E12="","Decide what the fog protects: power, or a customer.",IF(E12="A customer","Design the single version to accommodate the real requirement. Involve the person defending it.",IF(H12="","Name the private conversation and who it is with.","Have the private conversation before the single version is announced.")))))))</f>
        <v/>
      </c>
    </row>
    <row r="13">
      <c r="A13" s="17" t="inlineStr">
        <is>
          <t>A08</t>
        </is>
      </c>
      <c r="B13" s="18" t="inlineStr">
        <is>
          <t>HR's own case handling process</t>
        </is>
      </c>
      <c r="C13" s="18" t="inlineStr">
        <is>
          <t>Three HR generalists, three ways of closing a case</t>
        </is>
      </c>
      <c r="D13" s="18" t="inlineStr">
        <is>
          <t>HR itself: nobody has had to defend a single way</t>
        </is>
      </c>
      <c r="E13" s="17" t="inlineStr">
        <is>
          <t>Power</t>
        </is>
      </c>
      <c r="F13" s="18" t="inlineStr">
        <is>
          <t>One case process with a definition of done</t>
        </is>
      </c>
      <c r="G13" s="18" t="inlineStr">
        <is>
          <t>Every HR agent; HR's credibility to run the rest of this list</t>
        </is>
      </c>
      <c r="H13" s="18" t="inlineStr">
        <is>
          <t>Inside HR, first, before anyone else on this list</t>
        </is>
      </c>
      <c r="I13" s="18" t="inlineStr">
        <is>
          <t>HR fixes its own fog first and says so</t>
        </is>
      </c>
      <c r="J13" s="17" t="inlineStr">
        <is>
          <t>In conversation</t>
        </is>
      </c>
      <c r="K13" s="19">
        <f>IF(B13="","",IF(OR(ISNUMBER(SEARCH("HR itself",D13)),ISNUMBER(SEARCH("our function",D13)),ISNUMBER(SEARCH("HR's own",B13))),"Yes","No"))</f>
        <v/>
      </c>
      <c r="L13" s="19">
        <f>IF(OR(B13="",J13="Resolved"),"",IF(K13="Yes","First",IF(E13="Power","High","Design")))</f>
        <v/>
      </c>
      <c r="M13" s="20">
        <f>IF(B13="","",IF(J13="Resolved","Resolved. Share the win within the week.",IF(K13="Yes","Your own function is on the list. Handle this one first, and say so.",IF(D13="","Name who benefits. If nobody by intent, write that.",IF(E13="","Decide what the fog protects: power, or a customer.",IF(E13="A customer","Design the single version to accommodate the real requirement. Involve the person defending it.",IF(H13="","Name the private conversation and who it is with.","Have the private conversation before the single version is announced.")))))))</f>
        <v/>
      </c>
    </row>
    <row r="14">
      <c r="A14" s="17" t="inlineStr">
        <is>
          <t>A09</t>
        </is>
      </c>
      <c r="B14" s="18" t="n"/>
      <c r="C14" s="18" t="n"/>
      <c r="D14" s="18" t="n"/>
      <c r="E14" s="17" t="n"/>
      <c r="F14" s="18" t="n"/>
      <c r="G14" s="18" t="n"/>
      <c r="H14" s="18" t="n"/>
      <c r="I14" s="18" t="n"/>
      <c r="J14" s="17" t="n"/>
      <c r="K14" s="19">
        <f>IF(B14="","",IF(OR(ISNUMBER(SEARCH("HR itself",D14)),ISNUMBER(SEARCH("our function",D14)),ISNUMBER(SEARCH("HR's own",B14))),"Yes","No"))</f>
        <v/>
      </c>
      <c r="L14" s="19">
        <f>IF(OR(B14="",J14="Resolved"),"",IF(K14="Yes","First",IF(E14="Power","High","Design")))</f>
        <v/>
      </c>
      <c r="M14" s="20">
        <f>IF(B14="","",IF(J14="Resolved","Resolved. Share the win within the week.",IF(K14="Yes","Your own function is on the list. Handle this one first, and say so.",IF(D14="","Name who benefits. If nobody by intent, write that.",IF(E14="","Decide what the fog protects: power, or a customer.",IF(E14="A customer","Design the single version to accommodate the real requirement. Involve the person defending it.",IF(H14="","Name the private conversation and who it is with.","Have the private conversation before the single version is announced.")))))))</f>
        <v/>
      </c>
    </row>
    <row r="15">
      <c r="A15" s="17" t="inlineStr">
        <is>
          <t>A10</t>
        </is>
      </c>
      <c r="B15" s="18" t="n"/>
      <c r="C15" s="18" t="n"/>
      <c r="D15" s="18" t="n"/>
      <c r="E15" s="17" t="n"/>
      <c r="F15" s="18" t="n"/>
      <c r="G15" s="18" t="n"/>
      <c r="H15" s="18" t="n"/>
      <c r="I15" s="18" t="n"/>
      <c r="J15" s="17" t="n"/>
      <c r="K15" s="19">
        <f>IF(B15="","",IF(OR(ISNUMBER(SEARCH("HR itself",D15)),ISNUMBER(SEARCH("our function",D15)),ISNUMBER(SEARCH("HR's own",B15))),"Yes","No"))</f>
        <v/>
      </c>
      <c r="L15" s="19">
        <f>IF(OR(B15="",J15="Resolved"),"",IF(K15="Yes","First",IF(E15="Power","High","Design")))</f>
        <v/>
      </c>
      <c r="M15" s="20">
        <f>IF(B15="","",IF(J15="Resolved","Resolved. Share the win within the week.",IF(K15="Yes","Your own function is on the list. Handle this one first, and say so.",IF(D15="","Name who benefits. If nobody by intent, write that.",IF(E15="","Decide what the fog protects: power, or a customer.",IF(E15="A customer","Design the single version to accommodate the real requirement. Involve the person defending it.",IF(H15="","Name the private conversation and who it is with.","Have the private conversation before the single version is announced.")))))))</f>
        <v/>
      </c>
    </row>
    <row r="16">
      <c r="A16" s="17" t="inlineStr">
        <is>
          <t>A11</t>
        </is>
      </c>
      <c r="B16" s="18" t="n"/>
      <c r="C16" s="18" t="n"/>
      <c r="D16" s="18" t="n"/>
      <c r="E16" s="17" t="n"/>
      <c r="F16" s="18" t="n"/>
      <c r="G16" s="18" t="n"/>
      <c r="H16" s="18" t="n"/>
      <c r="I16" s="18" t="n"/>
      <c r="J16" s="17" t="n"/>
      <c r="K16" s="19">
        <f>IF(B16="","",IF(OR(ISNUMBER(SEARCH("HR itself",D16)),ISNUMBER(SEARCH("our function",D16)),ISNUMBER(SEARCH("HR's own",B16))),"Yes","No"))</f>
        <v/>
      </c>
      <c r="L16" s="19">
        <f>IF(OR(B16="",J16="Resolved"),"",IF(K16="Yes","First",IF(E16="Power","High","Design")))</f>
        <v/>
      </c>
      <c r="M16" s="20">
        <f>IF(B16="","",IF(J16="Resolved","Resolved. Share the win within the week.",IF(K16="Yes","Your own function is on the list. Handle this one first, and say so.",IF(D16="","Name who benefits. If nobody by intent, write that.",IF(E16="","Decide what the fog protects: power, or a customer.",IF(E16="A customer","Design the single version to accommodate the real requirement. Involve the person defending it.",IF(H16="","Name the private conversation and who it is with.","Have the private conversation before the single version is announced.")))))))</f>
        <v/>
      </c>
    </row>
    <row r="17">
      <c r="A17" s="17" t="inlineStr">
        <is>
          <t>A12</t>
        </is>
      </c>
      <c r="B17" s="18" t="n"/>
      <c r="C17" s="18" t="n"/>
      <c r="D17" s="18" t="n"/>
      <c r="E17" s="17" t="n"/>
      <c r="F17" s="18" t="n"/>
      <c r="G17" s="18" t="n"/>
      <c r="H17" s="18" t="n"/>
      <c r="I17" s="18" t="n"/>
      <c r="J17" s="17" t="n"/>
      <c r="K17" s="19">
        <f>IF(B17="","",IF(OR(ISNUMBER(SEARCH("HR itself",D17)),ISNUMBER(SEARCH("our function",D17)),ISNUMBER(SEARCH("HR's own",B17))),"Yes","No"))</f>
        <v/>
      </c>
      <c r="L17" s="19">
        <f>IF(OR(B17="",J17="Resolved"),"",IF(K17="Yes","First",IF(E17="Power","High","Design")))</f>
        <v/>
      </c>
      <c r="M17" s="20">
        <f>IF(B17="","",IF(J17="Resolved","Resolved. Share the win within the week.",IF(K17="Yes","Your own function is on the list. Handle this one first, and say so.",IF(D17="","Name who benefits. If nobody by intent, write that.",IF(E17="","Decide what the fog protects: power, or a customer.",IF(E17="A customer","Design the single version to accommodate the real requirement. Involve the person defending it.",IF(H17="","Name the private conversation and who it is with.","Have the private conversation before the single version is announced.")))))))</f>
        <v/>
      </c>
    </row>
    <row r="18">
      <c r="A18" s="17" t="inlineStr">
        <is>
          <t>A13</t>
        </is>
      </c>
      <c r="B18" s="18" t="n"/>
      <c r="C18" s="18" t="n"/>
      <c r="D18" s="18" t="n"/>
      <c r="E18" s="17" t="n"/>
      <c r="F18" s="18" t="n"/>
      <c r="G18" s="18" t="n"/>
      <c r="H18" s="18" t="n"/>
      <c r="I18" s="18" t="n"/>
      <c r="J18" s="17" t="n"/>
      <c r="K18" s="19">
        <f>IF(B18="","",IF(OR(ISNUMBER(SEARCH("HR itself",D18)),ISNUMBER(SEARCH("our function",D18)),ISNUMBER(SEARCH("HR's own",B18))),"Yes","No"))</f>
        <v/>
      </c>
      <c r="L18" s="19">
        <f>IF(OR(B18="",J18="Resolved"),"",IF(K18="Yes","First",IF(E18="Power","High","Design")))</f>
        <v/>
      </c>
      <c r="M18" s="20">
        <f>IF(B18="","",IF(J18="Resolved","Resolved. Share the win within the week.",IF(K18="Yes","Your own function is on the list. Handle this one first, and say so.",IF(D18="","Name who benefits. If nobody by intent, write that.",IF(E18="","Decide what the fog protects: power, or a customer.",IF(E18="A customer","Design the single version to accommodate the real requirement. Involve the person defending it.",IF(H18="","Name the private conversation and who it is with.","Have the private conversation before the single version is announced.")))))))</f>
        <v/>
      </c>
    </row>
    <row r="19">
      <c r="A19" s="17" t="inlineStr">
        <is>
          <t>A14</t>
        </is>
      </c>
      <c r="B19" s="18" t="n"/>
      <c r="C19" s="18" t="n"/>
      <c r="D19" s="18" t="n"/>
      <c r="E19" s="17" t="n"/>
      <c r="F19" s="18" t="n"/>
      <c r="G19" s="18" t="n"/>
      <c r="H19" s="18" t="n"/>
      <c r="I19" s="18" t="n"/>
      <c r="J19" s="17" t="n"/>
      <c r="K19" s="19">
        <f>IF(B19="","",IF(OR(ISNUMBER(SEARCH("HR itself",D19)),ISNUMBER(SEARCH("our function",D19)),ISNUMBER(SEARCH("HR's own",B19))),"Yes","No"))</f>
        <v/>
      </c>
      <c r="L19" s="19">
        <f>IF(OR(B19="",J19="Resolved"),"",IF(K19="Yes","First",IF(E19="Power","High","Design")))</f>
        <v/>
      </c>
      <c r="M19" s="20">
        <f>IF(B19="","",IF(J19="Resolved","Resolved. Share the win within the week.",IF(K19="Yes","Your own function is on the list. Handle this one first, and say so.",IF(D19="","Name who benefits. If nobody by intent, write that.",IF(E19="","Decide what the fog protects: power, or a customer.",IF(E19="A customer","Design the single version to accommodate the real requirement. Involve the person defending it.",IF(H19="","Name the private conversation and who it is with.","Have the private conversation before the single version is announced.")))))))</f>
        <v/>
      </c>
    </row>
    <row r="20">
      <c r="A20" s="17" t="inlineStr">
        <is>
          <t>A15</t>
        </is>
      </c>
      <c r="B20" s="18" t="n"/>
      <c r="C20" s="18" t="n"/>
      <c r="D20" s="18" t="n"/>
      <c r="E20" s="17" t="n"/>
      <c r="F20" s="18" t="n"/>
      <c r="G20" s="18" t="n"/>
      <c r="H20" s="18" t="n"/>
      <c r="I20" s="18" t="n"/>
      <c r="J20" s="17" t="n"/>
      <c r="K20" s="19">
        <f>IF(B20="","",IF(OR(ISNUMBER(SEARCH("HR itself",D20)),ISNUMBER(SEARCH("our function",D20)),ISNUMBER(SEARCH("HR's own",B20))),"Yes","No"))</f>
        <v/>
      </c>
      <c r="L20" s="19">
        <f>IF(OR(B20="",J20="Resolved"),"",IF(K20="Yes","First",IF(E20="Power","High","Design")))</f>
        <v/>
      </c>
      <c r="M20" s="20">
        <f>IF(B20="","",IF(J20="Resolved","Resolved. Share the win within the week.",IF(K20="Yes","Your own function is on the list. Handle this one first, and say so.",IF(D20="","Name who benefits. If nobody by intent, write that.",IF(E20="","Decide what the fog protects: power, or a customer.",IF(E20="A customer","Design the single version to accommodate the real requirement. Involve the person defending it.",IF(H20="","Name the private conversation and who it is with.","Have the private conversation before the single version is announced.")))))))</f>
        <v/>
      </c>
    </row>
    <row r="21">
      <c r="A21" s="17" t="inlineStr">
        <is>
          <t>A16</t>
        </is>
      </c>
      <c r="B21" s="18" t="n"/>
      <c r="C21" s="18" t="n"/>
      <c r="D21" s="18" t="n"/>
      <c r="E21" s="17" t="n"/>
      <c r="F21" s="18" t="n"/>
      <c r="G21" s="18" t="n"/>
      <c r="H21" s="18" t="n"/>
      <c r="I21" s="18" t="n"/>
      <c r="J21" s="17" t="n"/>
      <c r="K21" s="19">
        <f>IF(B21="","",IF(OR(ISNUMBER(SEARCH("HR itself",D21)),ISNUMBER(SEARCH("our function",D21)),ISNUMBER(SEARCH("HR's own",B21))),"Yes","No"))</f>
        <v/>
      </c>
      <c r="L21" s="19">
        <f>IF(OR(B21="",J21="Resolved"),"",IF(K21="Yes","First",IF(E21="Power","High","Design")))</f>
        <v/>
      </c>
      <c r="M21" s="20">
        <f>IF(B21="","",IF(J21="Resolved","Resolved. Share the win within the week.",IF(K21="Yes","Your own function is on the list. Handle this one first, and say so.",IF(D21="","Name who benefits. If nobody by intent, write that.",IF(E21="","Decide what the fog protects: power, or a customer.",IF(E21="A customer","Design the single version to accommodate the real requirement. Involve the person defending it.",IF(H21="","Name the private conversation and who it is with.","Have the private conversation before the single version is announced.")))))))</f>
        <v/>
      </c>
    </row>
    <row r="22">
      <c r="A22" s="17" t="inlineStr">
        <is>
          <t>A17</t>
        </is>
      </c>
      <c r="B22" s="18" t="n"/>
      <c r="C22" s="18" t="n"/>
      <c r="D22" s="18" t="n"/>
      <c r="E22" s="17" t="n"/>
      <c r="F22" s="18" t="n"/>
      <c r="G22" s="18" t="n"/>
      <c r="H22" s="18" t="n"/>
      <c r="I22" s="18" t="n"/>
      <c r="J22" s="17" t="n"/>
      <c r="K22" s="19">
        <f>IF(B22="","",IF(OR(ISNUMBER(SEARCH("HR itself",D22)),ISNUMBER(SEARCH("our function",D22)),ISNUMBER(SEARCH("HR's own",B22))),"Yes","No"))</f>
        <v/>
      </c>
      <c r="L22" s="19">
        <f>IF(OR(B22="",J22="Resolved"),"",IF(K22="Yes","First",IF(E22="Power","High","Design")))</f>
        <v/>
      </c>
      <c r="M22" s="20">
        <f>IF(B22="","",IF(J22="Resolved","Resolved. Share the win within the week.",IF(K22="Yes","Your own function is on the list. Handle this one first, and say so.",IF(D22="","Name who benefits. If nobody by intent, write that.",IF(E22="","Decide what the fog protects: power, or a customer.",IF(E22="A customer","Design the single version to accommodate the real requirement. Involve the person defending it.",IF(H22="","Name the private conversation and who it is with.","Have the private conversation before the single version is announced.")))))))</f>
        <v/>
      </c>
    </row>
    <row r="23">
      <c r="A23" s="17" t="inlineStr">
        <is>
          <t>A18</t>
        </is>
      </c>
      <c r="B23" s="18" t="n"/>
      <c r="C23" s="18" t="n"/>
      <c r="D23" s="18" t="n"/>
      <c r="E23" s="17" t="n"/>
      <c r="F23" s="18" t="n"/>
      <c r="G23" s="18" t="n"/>
      <c r="H23" s="18" t="n"/>
      <c r="I23" s="18" t="n"/>
      <c r="J23" s="17" t="n"/>
      <c r="K23" s="19">
        <f>IF(B23="","",IF(OR(ISNUMBER(SEARCH("HR itself",D23)),ISNUMBER(SEARCH("our function",D23)),ISNUMBER(SEARCH("HR's own",B23))),"Yes","No"))</f>
        <v/>
      </c>
      <c r="L23" s="19">
        <f>IF(OR(B23="",J23="Resolved"),"",IF(K23="Yes","First",IF(E23="Power","High","Design")))</f>
        <v/>
      </c>
      <c r="M23" s="20">
        <f>IF(B23="","",IF(J23="Resolved","Resolved. Share the win within the week.",IF(K23="Yes","Your own function is on the list. Handle this one first, and say so.",IF(D23="","Name who benefits. If nobody by intent, write that.",IF(E23="","Decide what the fog protects: power, or a customer.",IF(E23="A customer","Design the single version to accommodate the real requirement. Involve the person defending it.",IF(H23="","Name the private conversation and who it is with.","Have the private conversation before the single version is announced.")))))))</f>
        <v/>
      </c>
    </row>
    <row r="24">
      <c r="A24" s="17" t="inlineStr">
        <is>
          <t>A19</t>
        </is>
      </c>
      <c r="B24" s="18" t="n"/>
      <c r="C24" s="18" t="n"/>
      <c r="D24" s="18" t="n"/>
      <c r="E24" s="17" t="n"/>
      <c r="F24" s="18" t="n"/>
      <c r="G24" s="18" t="n"/>
      <c r="H24" s="18" t="n"/>
      <c r="I24" s="18" t="n"/>
      <c r="J24" s="17" t="n"/>
      <c r="K24" s="19">
        <f>IF(B24="","",IF(OR(ISNUMBER(SEARCH("HR itself",D24)),ISNUMBER(SEARCH("our function",D24)),ISNUMBER(SEARCH("HR's own",B24))),"Yes","No"))</f>
        <v/>
      </c>
      <c r="L24" s="19">
        <f>IF(OR(B24="",J24="Resolved"),"",IF(K24="Yes","First",IF(E24="Power","High","Design")))</f>
        <v/>
      </c>
      <c r="M24" s="20">
        <f>IF(B24="","",IF(J24="Resolved","Resolved. Share the win within the week.",IF(K24="Yes","Your own function is on the list. Handle this one first, and say so.",IF(D24="","Name who benefits. If nobody by intent, write that.",IF(E24="","Decide what the fog protects: power, or a customer.",IF(E24="A customer","Design the single version to accommodate the real requirement. Involve the person defending it.",IF(H24="","Name the private conversation and who it is with.","Have the private conversation before the single version is announced.")))))))</f>
        <v/>
      </c>
    </row>
    <row r="25">
      <c r="A25" s="17" t="inlineStr">
        <is>
          <t>A20</t>
        </is>
      </c>
      <c r="B25" s="18" t="n"/>
      <c r="C25" s="18" t="n"/>
      <c r="D25" s="18" t="n"/>
      <c r="E25" s="17" t="n"/>
      <c r="F25" s="18" t="n"/>
      <c r="G25" s="18" t="n"/>
      <c r="H25" s="18" t="n"/>
      <c r="I25" s="18" t="n"/>
      <c r="J25" s="17" t="n"/>
      <c r="K25" s="19">
        <f>IF(B25="","",IF(OR(ISNUMBER(SEARCH("HR itself",D25)),ISNUMBER(SEARCH("our function",D25)),ISNUMBER(SEARCH("HR's own",B25))),"Yes","No"))</f>
        <v/>
      </c>
      <c r="L25" s="19">
        <f>IF(OR(B25="",J25="Resolved"),"",IF(K25="Yes","First",IF(E25="Power","High","Design")))</f>
        <v/>
      </c>
      <c r="M25" s="20">
        <f>IF(B25="","",IF(J25="Resolved","Resolved. Share the win within the week.",IF(K25="Yes","Your own function is on the list. Handle this one first, and say so.",IF(D25="","Name who benefits. If nobody by intent, write that.",IF(E25="","Decide what the fog protects: power, or a customer.",IF(E25="A customer","Design the single version to accommodate the real requirement. Involve the person defending it.",IF(H25="","Name the private conversation and who it is with.","Have the private conversation before the single version is announced.")))))))</f>
        <v/>
      </c>
    </row>
    <row r="26">
      <c r="A26" s="17" t="inlineStr">
        <is>
          <t>A21</t>
        </is>
      </c>
      <c r="B26" s="18" t="n"/>
      <c r="C26" s="18" t="n"/>
      <c r="D26" s="18" t="n"/>
      <c r="E26" s="17" t="n"/>
      <c r="F26" s="18" t="n"/>
      <c r="G26" s="18" t="n"/>
      <c r="H26" s="18" t="n"/>
      <c r="I26" s="18" t="n"/>
      <c r="J26" s="17" t="n"/>
      <c r="K26" s="19">
        <f>IF(B26="","",IF(OR(ISNUMBER(SEARCH("HR itself",D26)),ISNUMBER(SEARCH("our function",D26)),ISNUMBER(SEARCH("HR's own",B26))),"Yes","No"))</f>
        <v/>
      </c>
      <c r="L26" s="19">
        <f>IF(OR(B26="",J26="Resolved"),"",IF(K26="Yes","First",IF(E26="Power","High","Design")))</f>
        <v/>
      </c>
      <c r="M26" s="20">
        <f>IF(B26="","",IF(J26="Resolved","Resolved. Share the win within the week.",IF(K26="Yes","Your own function is on the list. Handle this one first, and say so.",IF(D26="","Name who benefits. If nobody by intent, write that.",IF(E26="","Decide what the fog protects: power, or a customer.",IF(E26="A customer","Design the single version to accommodate the real requirement. Involve the person defending it.",IF(H26="","Name the private conversation and who it is with.","Have the private conversation before the single version is announced.")))))))</f>
        <v/>
      </c>
    </row>
    <row r="27">
      <c r="A27" s="17" t="inlineStr">
        <is>
          <t>A22</t>
        </is>
      </c>
      <c r="B27" s="18" t="n"/>
      <c r="C27" s="18" t="n"/>
      <c r="D27" s="18" t="n"/>
      <c r="E27" s="17" t="n"/>
      <c r="F27" s="18" t="n"/>
      <c r="G27" s="18" t="n"/>
      <c r="H27" s="18" t="n"/>
      <c r="I27" s="18" t="n"/>
      <c r="J27" s="17" t="n"/>
      <c r="K27" s="19">
        <f>IF(B27="","",IF(OR(ISNUMBER(SEARCH("HR itself",D27)),ISNUMBER(SEARCH("our function",D27)),ISNUMBER(SEARCH("HR's own",B27))),"Yes","No"))</f>
        <v/>
      </c>
      <c r="L27" s="19">
        <f>IF(OR(B27="",J27="Resolved"),"",IF(K27="Yes","First",IF(E27="Power","High","Design")))</f>
        <v/>
      </c>
      <c r="M27" s="20">
        <f>IF(B27="","",IF(J27="Resolved","Resolved. Share the win within the week.",IF(K27="Yes","Your own function is on the list. Handle this one first, and say so.",IF(D27="","Name who benefits. If nobody by intent, write that.",IF(E27="","Decide what the fog protects: power, or a customer.",IF(E27="A customer","Design the single version to accommodate the real requirement. Involve the person defending it.",IF(H27="","Name the private conversation and who it is with.","Have the private conversation before the single version is announced.")))))))</f>
        <v/>
      </c>
    </row>
    <row r="28">
      <c r="A28" s="17" t="inlineStr">
        <is>
          <t>A23</t>
        </is>
      </c>
      <c r="B28" s="18" t="n"/>
      <c r="C28" s="18" t="n"/>
      <c r="D28" s="18" t="n"/>
      <c r="E28" s="17" t="n"/>
      <c r="F28" s="18" t="n"/>
      <c r="G28" s="18" t="n"/>
      <c r="H28" s="18" t="n"/>
      <c r="I28" s="18" t="n"/>
      <c r="J28" s="17" t="n"/>
      <c r="K28" s="19">
        <f>IF(B28="","",IF(OR(ISNUMBER(SEARCH("HR itself",D28)),ISNUMBER(SEARCH("our function",D28)),ISNUMBER(SEARCH("HR's own",B28))),"Yes","No"))</f>
        <v/>
      </c>
      <c r="L28" s="19">
        <f>IF(OR(B28="",J28="Resolved"),"",IF(K28="Yes","First",IF(E28="Power","High","Design")))</f>
        <v/>
      </c>
      <c r="M28" s="20">
        <f>IF(B28="","",IF(J28="Resolved","Resolved. Share the win within the week.",IF(K28="Yes","Your own function is on the list. Handle this one first, and say so.",IF(D28="","Name who benefits. If nobody by intent, write that.",IF(E28="","Decide what the fog protects: power, or a customer.",IF(E28="A customer","Design the single version to accommodate the real requirement. Involve the person defending it.",IF(H28="","Name the private conversation and who it is with.","Have the private conversation before the single version is announced.")))))))</f>
        <v/>
      </c>
    </row>
    <row r="29">
      <c r="A29" s="17" t="inlineStr">
        <is>
          <t>A24</t>
        </is>
      </c>
      <c r="B29" s="18" t="n"/>
      <c r="C29" s="18" t="n"/>
      <c r="D29" s="18" t="n"/>
      <c r="E29" s="17" t="n"/>
      <c r="F29" s="18" t="n"/>
      <c r="G29" s="18" t="n"/>
      <c r="H29" s="18" t="n"/>
      <c r="I29" s="18" t="n"/>
      <c r="J29" s="17" t="n"/>
      <c r="K29" s="19">
        <f>IF(B29="","",IF(OR(ISNUMBER(SEARCH("HR itself",D29)),ISNUMBER(SEARCH("our function",D29)),ISNUMBER(SEARCH("HR's own",B29))),"Yes","No"))</f>
        <v/>
      </c>
      <c r="L29" s="19">
        <f>IF(OR(B29="",J29="Resolved"),"",IF(K29="Yes","First",IF(E29="Power","High","Design")))</f>
        <v/>
      </c>
      <c r="M29" s="20">
        <f>IF(B29="","",IF(J29="Resolved","Resolved. Share the win within the week.",IF(K29="Yes","Your own function is on the list. Handle this one first, and say so.",IF(D29="","Name who benefits. If nobody by intent, write that.",IF(E29="","Decide what the fog protects: power, or a customer.",IF(E29="A customer","Design the single version to accommodate the real requirement. Involve the person defending it.",IF(H29="","Name the private conversation and who it is with.","Have the private conversation before the single version is announced.")))))))</f>
        <v/>
      </c>
    </row>
    <row r="30">
      <c r="A30" s="17" t="inlineStr">
        <is>
          <t>A25</t>
        </is>
      </c>
      <c r="B30" s="18" t="n"/>
      <c r="C30" s="18" t="n"/>
      <c r="D30" s="18" t="n"/>
      <c r="E30" s="17" t="n"/>
      <c r="F30" s="18" t="n"/>
      <c r="G30" s="18" t="n"/>
      <c r="H30" s="18" t="n"/>
      <c r="I30" s="18" t="n"/>
      <c r="J30" s="17" t="n"/>
      <c r="K30" s="19">
        <f>IF(B30="","",IF(OR(ISNUMBER(SEARCH("HR itself",D30)),ISNUMBER(SEARCH("our function",D30)),ISNUMBER(SEARCH("HR's own",B30))),"Yes","No"))</f>
        <v/>
      </c>
      <c r="L30" s="19">
        <f>IF(OR(B30="",J30="Resolved"),"",IF(K30="Yes","First",IF(E30="Power","High","Design")))</f>
        <v/>
      </c>
      <c r="M30" s="20">
        <f>IF(B30="","",IF(J30="Resolved","Resolved. Share the win within the week.",IF(K30="Yes","Your own function is on the list. Handle this one first, and say so.",IF(D30="","Name who benefits. If nobody by intent, write that.",IF(E30="","Decide what the fog protects: power, or a customer.",IF(E30="A customer","Design the single version to accommodate the real requirement. Involve the person defending it.",IF(H30="","Name the private conversation and who it is with.","Have the private conversation before the single version is announced.")))))))</f>
        <v/>
      </c>
    </row>
    <row r="31">
      <c r="A31" s="17" t="inlineStr">
        <is>
          <t>A26</t>
        </is>
      </c>
      <c r="B31" s="18" t="n"/>
      <c r="C31" s="18" t="n"/>
      <c r="D31" s="18" t="n"/>
      <c r="E31" s="17" t="n"/>
      <c r="F31" s="18" t="n"/>
      <c r="G31" s="18" t="n"/>
      <c r="H31" s="18" t="n"/>
      <c r="I31" s="18" t="n"/>
      <c r="J31" s="17" t="n"/>
      <c r="K31" s="19">
        <f>IF(B31="","",IF(OR(ISNUMBER(SEARCH("HR itself",D31)),ISNUMBER(SEARCH("our function",D31)),ISNUMBER(SEARCH("HR's own",B31))),"Yes","No"))</f>
        <v/>
      </c>
      <c r="L31" s="19">
        <f>IF(OR(B31="",J31="Resolved"),"",IF(K31="Yes","First",IF(E31="Power","High","Design")))</f>
        <v/>
      </c>
      <c r="M31" s="20">
        <f>IF(B31="","",IF(J31="Resolved","Resolved. Share the win within the week.",IF(K31="Yes","Your own function is on the list. Handle this one first, and say so.",IF(D31="","Name who benefits. If nobody by intent, write that.",IF(E31="","Decide what the fog protects: power, or a customer.",IF(E31="A customer","Design the single version to accommodate the real requirement. Involve the person defending it.",IF(H31="","Name the private conversation and who it is with.","Have the private conversation before the single version is announced.")))))))</f>
        <v/>
      </c>
    </row>
    <row r="32">
      <c r="A32" s="17" t="inlineStr">
        <is>
          <t>A27</t>
        </is>
      </c>
      <c r="B32" s="18" t="n"/>
      <c r="C32" s="18" t="n"/>
      <c r="D32" s="18" t="n"/>
      <c r="E32" s="17" t="n"/>
      <c r="F32" s="18" t="n"/>
      <c r="G32" s="18" t="n"/>
      <c r="H32" s="18" t="n"/>
      <c r="I32" s="18" t="n"/>
      <c r="J32" s="17" t="n"/>
      <c r="K32" s="19">
        <f>IF(B32="","",IF(OR(ISNUMBER(SEARCH("HR itself",D32)),ISNUMBER(SEARCH("our function",D32)),ISNUMBER(SEARCH("HR's own",B32))),"Yes","No"))</f>
        <v/>
      </c>
      <c r="L32" s="19">
        <f>IF(OR(B32="",J32="Resolved"),"",IF(K32="Yes","First",IF(E32="Power","High","Design")))</f>
        <v/>
      </c>
      <c r="M32" s="20">
        <f>IF(B32="","",IF(J32="Resolved","Resolved. Share the win within the week.",IF(K32="Yes","Your own function is on the list. Handle this one first, and say so.",IF(D32="","Name who benefits. If nobody by intent, write that.",IF(E32="","Decide what the fog protects: power, or a customer.",IF(E32="A customer","Design the single version to accommodate the real requirement. Involve the person defending it.",IF(H32="","Name the private conversation and who it is with.","Have the private conversation before the single version is announced.")))))))</f>
        <v/>
      </c>
    </row>
    <row r="33">
      <c r="A33" s="17" t="inlineStr">
        <is>
          <t>A28</t>
        </is>
      </c>
      <c r="B33" s="18" t="n"/>
      <c r="C33" s="18" t="n"/>
      <c r="D33" s="18" t="n"/>
      <c r="E33" s="17" t="n"/>
      <c r="F33" s="18" t="n"/>
      <c r="G33" s="18" t="n"/>
      <c r="H33" s="18" t="n"/>
      <c r="I33" s="18" t="n"/>
      <c r="J33" s="17" t="n"/>
      <c r="K33" s="19">
        <f>IF(B33="","",IF(OR(ISNUMBER(SEARCH("HR itself",D33)),ISNUMBER(SEARCH("our function",D33)),ISNUMBER(SEARCH("HR's own",B33))),"Yes","No"))</f>
        <v/>
      </c>
      <c r="L33" s="19">
        <f>IF(OR(B33="",J33="Resolved"),"",IF(K33="Yes","First",IF(E33="Power","High","Design")))</f>
        <v/>
      </c>
      <c r="M33" s="20">
        <f>IF(B33="","",IF(J33="Resolved","Resolved. Share the win within the week.",IF(K33="Yes","Your own function is on the list. Handle this one first, and say so.",IF(D33="","Name who benefits. If nobody by intent, write that.",IF(E33="","Decide what the fog protects: power, or a customer.",IF(E33="A customer","Design the single version to accommodate the real requirement. Involve the person defending it.",IF(H33="","Name the private conversation and who it is with.","Have the private conversation before the single version is announced.")))))))</f>
        <v/>
      </c>
    </row>
    <row r="34">
      <c r="A34" s="17" t="inlineStr">
        <is>
          <t>A29</t>
        </is>
      </c>
      <c r="B34" s="18" t="n"/>
      <c r="C34" s="18" t="n"/>
      <c r="D34" s="18" t="n"/>
      <c r="E34" s="17" t="n"/>
      <c r="F34" s="18" t="n"/>
      <c r="G34" s="18" t="n"/>
      <c r="H34" s="18" t="n"/>
      <c r="I34" s="18" t="n"/>
      <c r="J34" s="17" t="n"/>
      <c r="K34" s="19">
        <f>IF(B34="","",IF(OR(ISNUMBER(SEARCH("HR itself",D34)),ISNUMBER(SEARCH("our function",D34)),ISNUMBER(SEARCH("HR's own",B34))),"Yes","No"))</f>
        <v/>
      </c>
      <c r="L34" s="19">
        <f>IF(OR(B34="",J34="Resolved"),"",IF(K34="Yes","First",IF(E34="Power","High","Design")))</f>
        <v/>
      </c>
      <c r="M34" s="20">
        <f>IF(B34="","",IF(J34="Resolved","Resolved. Share the win within the week.",IF(K34="Yes","Your own function is on the list. Handle this one first, and say so.",IF(D34="","Name who benefits. If nobody by intent, write that.",IF(E34="","Decide what the fog protects: power, or a customer.",IF(E34="A customer","Design the single version to accommodate the real requirement. Involve the person defending it.",IF(H34="","Name the private conversation and who it is with.","Have the private conversation before the single version is announced.")))))))</f>
        <v/>
      </c>
    </row>
    <row r="35">
      <c r="A35" s="17" t="inlineStr">
        <is>
          <t>A30</t>
        </is>
      </c>
      <c r="B35" s="18" t="n"/>
      <c r="C35" s="18" t="n"/>
      <c r="D35" s="18" t="n"/>
      <c r="E35" s="17" t="n"/>
      <c r="F35" s="18" t="n"/>
      <c r="G35" s="18" t="n"/>
      <c r="H35" s="18" t="n"/>
      <c r="I35" s="18" t="n"/>
      <c r="J35" s="17" t="n"/>
      <c r="K35" s="19">
        <f>IF(B35="","",IF(OR(ISNUMBER(SEARCH("HR itself",D35)),ISNUMBER(SEARCH("our function",D35)),ISNUMBER(SEARCH("HR's own",B35))),"Yes","No"))</f>
        <v/>
      </c>
      <c r="L35" s="19">
        <f>IF(OR(B35="",J35="Resolved"),"",IF(K35="Yes","First",IF(E35="Power","High","Design")))</f>
        <v/>
      </c>
      <c r="M35" s="20">
        <f>IF(B35="","",IF(J35="Resolved","Resolved. Share the win within the week.",IF(K35="Yes","Your own function is on the list. Handle this one first, and say so.",IF(D35="","Name who benefits. If nobody by intent, write that.",IF(E35="","Decide what the fog protects: power, or a customer.",IF(E35="A customer","Design the single version to accommodate the real requirement. Involve the person defending it.",IF(H35="","Name the private conversation and who it is with.","Have the private conversation before the single version is announced.")))))))</f>
        <v/>
      </c>
    </row>
    <row r="36">
      <c r="A36" s="17" t="inlineStr">
        <is>
          <t>A31</t>
        </is>
      </c>
      <c r="B36" s="18" t="n"/>
      <c r="C36" s="18" t="n"/>
      <c r="D36" s="18" t="n"/>
      <c r="E36" s="17" t="n"/>
      <c r="F36" s="18" t="n"/>
      <c r="G36" s="18" t="n"/>
      <c r="H36" s="18" t="n"/>
      <c r="I36" s="18" t="n"/>
      <c r="J36" s="17" t="n"/>
      <c r="K36" s="19">
        <f>IF(B36="","",IF(OR(ISNUMBER(SEARCH("HR itself",D36)),ISNUMBER(SEARCH("our function",D36)),ISNUMBER(SEARCH("HR's own",B36))),"Yes","No"))</f>
        <v/>
      </c>
      <c r="L36" s="19">
        <f>IF(OR(B36="",J36="Resolved"),"",IF(K36="Yes","First",IF(E36="Power","High","Design")))</f>
        <v/>
      </c>
      <c r="M36" s="20">
        <f>IF(B36="","",IF(J36="Resolved","Resolved. Share the win within the week.",IF(K36="Yes","Your own function is on the list. Handle this one first, and say so.",IF(D36="","Name who benefits. If nobody by intent, write that.",IF(E36="","Decide what the fog protects: power, or a customer.",IF(E36="A customer","Design the single version to accommodate the real requirement. Involve the person defending it.",IF(H36="","Name the private conversation and who it is with.","Have the private conversation before the single version is announced.")))))))</f>
        <v/>
      </c>
    </row>
    <row r="37">
      <c r="A37" s="17" t="inlineStr">
        <is>
          <t>A32</t>
        </is>
      </c>
      <c r="B37" s="18" t="n"/>
      <c r="C37" s="18" t="n"/>
      <c r="D37" s="18" t="n"/>
      <c r="E37" s="17" t="n"/>
      <c r="F37" s="18" t="n"/>
      <c r="G37" s="18" t="n"/>
      <c r="H37" s="18" t="n"/>
      <c r="I37" s="18" t="n"/>
      <c r="J37" s="17" t="n"/>
      <c r="K37" s="19">
        <f>IF(B37="","",IF(OR(ISNUMBER(SEARCH("HR itself",D37)),ISNUMBER(SEARCH("our function",D37)),ISNUMBER(SEARCH("HR's own",B37))),"Yes","No"))</f>
        <v/>
      </c>
      <c r="L37" s="19">
        <f>IF(OR(B37="",J37="Resolved"),"",IF(K37="Yes","First",IF(E37="Power","High","Design")))</f>
        <v/>
      </c>
      <c r="M37" s="20">
        <f>IF(B37="","",IF(J37="Resolved","Resolved. Share the win within the week.",IF(K37="Yes","Your own function is on the list. Handle this one first, and say so.",IF(D37="","Name who benefits. If nobody by intent, write that.",IF(E37="","Decide what the fog protects: power, or a customer.",IF(E37="A customer","Design the single version to accommodate the real requirement. Involve the person defending it.",IF(H37="","Name the private conversation and who it is with.","Have the private conversation before the single version is announced.")))))))</f>
        <v/>
      </c>
    </row>
    <row r="38">
      <c r="A38" s="17" t="inlineStr">
        <is>
          <t>A33</t>
        </is>
      </c>
      <c r="B38" s="18" t="n"/>
      <c r="C38" s="18" t="n"/>
      <c r="D38" s="18" t="n"/>
      <c r="E38" s="17" t="n"/>
      <c r="F38" s="18" t="n"/>
      <c r="G38" s="18" t="n"/>
      <c r="H38" s="18" t="n"/>
      <c r="I38" s="18" t="n"/>
      <c r="J38" s="17" t="n"/>
      <c r="K38" s="19">
        <f>IF(B38="","",IF(OR(ISNUMBER(SEARCH("HR itself",D38)),ISNUMBER(SEARCH("our function",D38)),ISNUMBER(SEARCH("HR's own",B38))),"Yes","No"))</f>
        <v/>
      </c>
      <c r="L38" s="19">
        <f>IF(OR(B38="",J38="Resolved"),"",IF(K38="Yes","First",IF(E38="Power","High","Design")))</f>
        <v/>
      </c>
      <c r="M38" s="20">
        <f>IF(B38="","",IF(J38="Resolved","Resolved. Share the win within the week.",IF(K38="Yes","Your own function is on the list. Handle this one first, and say so.",IF(D38="","Name who benefits. If nobody by intent, write that.",IF(E38="","Decide what the fog protects: power, or a customer.",IF(E38="A customer","Design the single version to accommodate the real requirement. Involve the person defending it.",IF(H38="","Name the private conversation and who it is with.","Have the private conversation before the single version is announced.")))))))</f>
        <v/>
      </c>
    </row>
    <row r="39">
      <c r="A39" s="17" t="inlineStr">
        <is>
          <t>A34</t>
        </is>
      </c>
      <c r="B39" s="18" t="n"/>
      <c r="C39" s="18" t="n"/>
      <c r="D39" s="18" t="n"/>
      <c r="E39" s="17" t="n"/>
      <c r="F39" s="18" t="n"/>
      <c r="G39" s="18" t="n"/>
      <c r="H39" s="18" t="n"/>
      <c r="I39" s="18" t="n"/>
      <c r="J39" s="17" t="n"/>
      <c r="K39" s="19">
        <f>IF(B39="","",IF(OR(ISNUMBER(SEARCH("HR itself",D39)),ISNUMBER(SEARCH("our function",D39)),ISNUMBER(SEARCH("HR's own",B39))),"Yes","No"))</f>
        <v/>
      </c>
      <c r="L39" s="19">
        <f>IF(OR(B39="",J39="Resolved"),"",IF(K39="Yes","First",IF(E39="Power","High","Design")))</f>
        <v/>
      </c>
      <c r="M39" s="20">
        <f>IF(B39="","",IF(J39="Resolved","Resolved. Share the win within the week.",IF(K39="Yes","Your own function is on the list. Handle this one first, and say so.",IF(D39="","Name who benefits. If nobody by intent, write that.",IF(E39="","Decide what the fog protects: power, or a customer.",IF(E39="A customer","Design the single version to accommodate the real requirement. Involve the person defending it.",IF(H39="","Name the private conversation and who it is with.","Have the private conversation before the single version is announced.")))))))</f>
        <v/>
      </c>
    </row>
    <row r="40">
      <c r="A40" s="17" t="inlineStr">
        <is>
          <t>A35</t>
        </is>
      </c>
      <c r="B40" s="18" t="n"/>
      <c r="C40" s="18" t="n"/>
      <c r="D40" s="18" t="n"/>
      <c r="E40" s="17" t="n"/>
      <c r="F40" s="18" t="n"/>
      <c r="G40" s="18" t="n"/>
      <c r="H40" s="18" t="n"/>
      <c r="I40" s="18" t="n"/>
      <c r="J40" s="17" t="n"/>
      <c r="K40" s="19">
        <f>IF(B40="","",IF(OR(ISNUMBER(SEARCH("HR itself",D40)),ISNUMBER(SEARCH("our function",D40)),ISNUMBER(SEARCH("HR's own",B40))),"Yes","No"))</f>
        <v/>
      </c>
      <c r="L40" s="19">
        <f>IF(OR(B40="",J40="Resolved"),"",IF(K40="Yes","First",IF(E40="Power","High","Design")))</f>
        <v/>
      </c>
      <c r="M40" s="20">
        <f>IF(B40="","",IF(J40="Resolved","Resolved. Share the win within the week.",IF(K40="Yes","Your own function is on the list. Handle this one first, and say so.",IF(D40="","Name who benefits. If nobody by intent, write that.",IF(E40="","Decide what the fog protects: power, or a customer.",IF(E40="A customer","Design the single version to accommodate the real requirement. Involve the person defending it.",IF(H40="","Name the private conversation and who it is with.","Have the private conversation before the single version is announced.")))))))</f>
        <v/>
      </c>
    </row>
    <row r="41">
      <c r="A41" s="17" t="inlineStr">
        <is>
          <t>A36</t>
        </is>
      </c>
      <c r="B41" s="18" t="n"/>
      <c r="C41" s="18" t="n"/>
      <c r="D41" s="18" t="n"/>
      <c r="E41" s="17" t="n"/>
      <c r="F41" s="18" t="n"/>
      <c r="G41" s="18" t="n"/>
      <c r="H41" s="18" t="n"/>
      <c r="I41" s="18" t="n"/>
      <c r="J41" s="17" t="n"/>
      <c r="K41" s="19">
        <f>IF(B41="","",IF(OR(ISNUMBER(SEARCH("HR itself",D41)),ISNUMBER(SEARCH("our function",D41)),ISNUMBER(SEARCH("HR's own",B41))),"Yes","No"))</f>
        <v/>
      </c>
      <c r="L41" s="19">
        <f>IF(OR(B41="",J41="Resolved"),"",IF(K41="Yes","First",IF(E41="Power","High","Design")))</f>
        <v/>
      </c>
      <c r="M41" s="20">
        <f>IF(B41="","",IF(J41="Resolved","Resolved. Share the win within the week.",IF(K41="Yes","Your own function is on the list. Handle this one first, and say so.",IF(D41="","Name who benefits. If nobody by intent, write that.",IF(E41="","Decide what the fog protects: power, or a customer.",IF(E41="A customer","Design the single version to accommodate the real requirement. Involve the person defending it.",IF(H41="","Name the private conversation and who it is with.","Have the private conversation before the single version is announced.")))))))</f>
        <v/>
      </c>
    </row>
    <row r="42">
      <c r="A42" s="17" t="inlineStr">
        <is>
          <t>A37</t>
        </is>
      </c>
      <c r="B42" s="18" t="n"/>
      <c r="C42" s="18" t="n"/>
      <c r="D42" s="18" t="n"/>
      <c r="E42" s="17" t="n"/>
      <c r="F42" s="18" t="n"/>
      <c r="G42" s="18" t="n"/>
      <c r="H42" s="18" t="n"/>
      <c r="I42" s="18" t="n"/>
      <c r="J42" s="17" t="n"/>
      <c r="K42" s="19">
        <f>IF(B42="","",IF(OR(ISNUMBER(SEARCH("HR itself",D42)),ISNUMBER(SEARCH("our function",D42)),ISNUMBER(SEARCH("HR's own",B42))),"Yes","No"))</f>
        <v/>
      </c>
      <c r="L42" s="19">
        <f>IF(OR(B42="",J42="Resolved"),"",IF(K42="Yes","First",IF(E42="Power","High","Design")))</f>
        <v/>
      </c>
      <c r="M42" s="20">
        <f>IF(B42="","",IF(J42="Resolved","Resolved. Share the win within the week.",IF(K42="Yes","Your own function is on the list. Handle this one first, and say so.",IF(D42="","Name who benefits. If nobody by intent, write that.",IF(E42="","Decide what the fog protects: power, or a customer.",IF(E42="A customer","Design the single version to accommodate the real requirement. Involve the person defending it.",IF(H42="","Name the private conversation and who it is with.","Have the private conversation before the single version is announced.")))))))</f>
        <v/>
      </c>
    </row>
    <row r="43">
      <c r="A43" s="17" t="inlineStr">
        <is>
          <t>A38</t>
        </is>
      </c>
      <c r="B43" s="18" t="n"/>
      <c r="C43" s="18" t="n"/>
      <c r="D43" s="18" t="n"/>
      <c r="E43" s="17" t="n"/>
      <c r="F43" s="18" t="n"/>
      <c r="G43" s="18" t="n"/>
      <c r="H43" s="18" t="n"/>
      <c r="I43" s="18" t="n"/>
      <c r="J43" s="17" t="n"/>
      <c r="K43" s="19">
        <f>IF(B43="","",IF(OR(ISNUMBER(SEARCH("HR itself",D43)),ISNUMBER(SEARCH("our function",D43)),ISNUMBER(SEARCH("HR's own",B43))),"Yes","No"))</f>
        <v/>
      </c>
      <c r="L43" s="19">
        <f>IF(OR(B43="",J43="Resolved"),"",IF(K43="Yes","First",IF(E43="Power","High","Design")))</f>
        <v/>
      </c>
      <c r="M43" s="20">
        <f>IF(B43="","",IF(J43="Resolved","Resolved. Share the win within the week.",IF(K43="Yes","Your own function is on the list. Handle this one first, and say so.",IF(D43="","Name who benefits. If nobody by intent, write that.",IF(E43="","Decide what the fog protects: power, or a customer.",IF(E43="A customer","Design the single version to accommodate the real requirement. Involve the person defending it.",IF(H43="","Name the private conversation and who it is with.","Have the private conversation before the single version is announced.")))))))</f>
        <v/>
      </c>
    </row>
    <row r="44">
      <c r="A44" s="17" t="inlineStr">
        <is>
          <t>A39</t>
        </is>
      </c>
      <c r="B44" s="18" t="n"/>
      <c r="C44" s="18" t="n"/>
      <c r="D44" s="18" t="n"/>
      <c r="E44" s="17" t="n"/>
      <c r="F44" s="18" t="n"/>
      <c r="G44" s="18" t="n"/>
      <c r="H44" s="18" t="n"/>
      <c r="I44" s="18" t="n"/>
      <c r="J44" s="17" t="n"/>
      <c r="K44" s="19">
        <f>IF(B44="","",IF(OR(ISNUMBER(SEARCH("HR itself",D44)),ISNUMBER(SEARCH("our function",D44)),ISNUMBER(SEARCH("HR's own",B44))),"Yes","No"))</f>
        <v/>
      </c>
      <c r="L44" s="19">
        <f>IF(OR(B44="",J44="Resolved"),"",IF(K44="Yes","First",IF(E44="Power","High","Design")))</f>
        <v/>
      </c>
      <c r="M44" s="20">
        <f>IF(B44="","",IF(J44="Resolved","Resolved. Share the win within the week.",IF(K44="Yes","Your own function is on the list. Handle this one first, and say so.",IF(D44="","Name who benefits. If nobody by intent, write that.",IF(E44="","Decide what the fog protects: power, or a customer.",IF(E44="A customer","Design the single version to accommodate the real requirement. Involve the person defending it.",IF(H44="","Name the private conversation and who it is with.","Have the private conversation before the single version is announced.")))))))</f>
        <v/>
      </c>
    </row>
    <row r="45">
      <c r="A45" s="17" t="inlineStr">
        <is>
          <t>A40</t>
        </is>
      </c>
      <c r="B45" s="18" t="n"/>
      <c r="C45" s="18" t="n"/>
      <c r="D45" s="18" t="n"/>
      <c r="E45" s="17" t="n"/>
      <c r="F45" s="18" t="n"/>
      <c r="G45" s="18" t="n"/>
      <c r="H45" s="18" t="n"/>
      <c r="I45" s="18" t="n"/>
      <c r="J45" s="17" t="n"/>
      <c r="K45" s="19">
        <f>IF(B45="","",IF(OR(ISNUMBER(SEARCH("HR itself",D45)),ISNUMBER(SEARCH("our function",D45)),ISNUMBER(SEARCH("HR's own",B45))),"Yes","No"))</f>
        <v/>
      </c>
      <c r="L45" s="19">
        <f>IF(OR(B45="",J45="Resolved"),"",IF(K45="Yes","First",IF(E45="Power","High","Design")))</f>
        <v/>
      </c>
      <c r="M45" s="20">
        <f>IF(B45="","",IF(J45="Resolved","Resolved. Share the win within the week.",IF(K45="Yes","Your own function is on the list. Handle this one first, and say so.",IF(D45="","Name who benefits. If nobody by intent, write that.",IF(E45="","Decide what the fog protects: power, or a customer.",IF(E45="A customer","Design the single version to accommodate the real requirement. Involve the person defending it.",IF(H45="","Name the private conversation and who it is with.","Have the private conversation before the single version is announced.")))))))</f>
        <v/>
      </c>
    </row>
  </sheetData>
  <mergeCells count="3">
    <mergeCell ref="A4:M4"/>
    <mergeCell ref="A3:M3"/>
    <mergeCell ref="A2:M2"/>
  </mergeCells>
  <conditionalFormatting sqref="E6:E45">
    <cfRule type="expression" priority="1" dxfId="0">
      <formula>E6="Power"</formula>
    </cfRule>
    <cfRule type="expression" priority="2" dxfId="1">
      <formula>E6="A customer"</formula>
    </cfRule>
  </conditionalFormatting>
  <conditionalFormatting sqref="K6:K45">
    <cfRule type="expression" priority="3" dxfId="0">
      <formula>K6="Yes"</formula>
    </cfRule>
  </conditionalFormatting>
  <conditionalFormatting sqref="L6:L45">
    <cfRule type="expression" priority="4" dxfId="0">
      <formula>L6="First"</formula>
    </cfRule>
  </conditionalFormatting>
  <conditionalFormatting sqref="J6:J45">
    <cfRule type="expression" priority="5" dxfId="1">
      <formula>J6="Resolved"</formula>
    </cfRule>
  </conditionalFormatting>
  <dataValidations count="2">
    <dataValidation sqref="E6:E45" showDropDown="0" showInputMessage="0" showErrorMessage="0" allowBlank="1" type="list">
      <formula1>"Power,A customer"</formula1>
    </dataValidation>
    <dataValidation sqref="J6:J45" showDropDown="0" showInputMessage="0" showErrorMessage="0" allowBlank="1" type="list">
      <formula1>"Open,In conversation,Resolved"</formula1>
    </dataValidation>
  </dataValidations>
  <pageMargins left="0.75" right="0.75" top="1" bottom="1" header="0.5" footer="0.5"/>
  <pageSetup orientation="landscape" fitToHeight="0" fitToWidth="1"/>
  <headerFooter>
    <oddHeader>&amp;C&amp;BPRIVATE. Use it. Don’t publish it.</oddHeader>
    <oddFooter>&amp;LOnTheGrow Leadership | Ambiguity Inventory&amp;RPage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1:E46"/>
  <sheetViews>
    <sheetView showGridLines="0" workbookViewId="0">
      <selection activeCell="A1" sqref="A1"/>
    </sheetView>
  </sheetViews>
  <sheetFormatPr baseColWidth="8" defaultRowHeight="15"/>
  <cols>
    <col width="3" customWidth="1" min="1" max="1"/>
    <col width="44" customWidth="1" min="2" max="2"/>
    <col width="14" customWidth="1" min="3" max="3"/>
    <col width="30" customWidth="1" min="4" max="4"/>
    <col width="36" customWidth="1" min="5" max="5"/>
  </cols>
  <sheetData>
    <row r="1">
      <c r="B1" s="11" t="inlineStr">
        <is>
          <t>Summary: Where the Resistance Will Come From</t>
        </is>
      </c>
    </row>
    <row r="2">
      <c r="B2" s="12" t="inlineStr">
        <is>
          <t>HOW TO USE THIS TAB: Nothing to type. Everything calculates from the Inventory. This page is for the CHRO, not for a deck.</t>
        </is>
      </c>
    </row>
    <row r="3">
      <c r="B3" s="13" t="inlineStr">
        <is>
          <t>© 2026 Elizabeth A. Corey. All rights reserved. GROWTH Execution Model™. onthegrow.ai</t>
        </is>
      </c>
    </row>
    <row r="4">
      <c r="B4" s="14" t="inlineStr">
        <is>
          <t>PRIVATE. Use it. Don’t publish it.</t>
        </is>
      </c>
    </row>
    <row r="6">
      <c r="B6" s="15" t="inlineStr">
        <is>
          <t>THE MAP</t>
        </is>
      </c>
      <c r="C6" s="15" t="inlineStr">
        <is>
          <t>Items</t>
        </is>
      </c>
    </row>
    <row r="7">
      <c r="B7" s="21" t="inlineStr">
        <is>
          <t>Items AI will force into a single version</t>
        </is>
      </c>
      <c r="C7" s="22">
        <f>COUNTIF(Inventory!$B$6:$B$45,"?*")</f>
        <v/>
      </c>
    </row>
    <row r="8">
      <c r="B8" s="21" t="inlineStr">
        <is>
          <t>Fog protecting power</t>
        </is>
      </c>
      <c r="C8" s="22">
        <f>COUNTIF(Inventory!$E$6:$E$45,"Power")</f>
        <v/>
      </c>
    </row>
    <row r="9">
      <c r="B9" s="21" t="inlineStr">
        <is>
          <t>Fog protecting a customer (design the single version around it)</t>
        </is>
      </c>
      <c r="C9" s="22">
        <f>COUNTIF(Inventory!$E$6:$E$45,"A customer")</f>
        <v/>
      </c>
    </row>
    <row r="10">
      <c r="B10" s="21" t="inlineStr">
        <is>
          <t>Not yet classified</t>
        </is>
      </c>
      <c r="C10" s="22">
        <f>COUNTIFS(Inventory!$B$6:$B$45,"?*",Inventory!$E$6:$E$45,"")</f>
        <v/>
      </c>
    </row>
    <row r="11">
      <c r="B11" s="21" t="inlineStr">
        <is>
          <t>Your own function on the list</t>
        </is>
      </c>
      <c r="C11" s="22">
        <f>COUNTIF(Inventory!$K$6:$K$45,"Yes")</f>
        <v/>
      </c>
    </row>
    <row r="12">
      <c r="B12" s="21" t="inlineStr">
        <is>
          <t>Resolved</t>
        </is>
      </c>
      <c r="C12" s="22">
        <f>COUNTIF(Inventory!$J$6:$J$45,"Resolved")</f>
        <v/>
      </c>
    </row>
    <row r="14">
      <c r="B14" s="15" t="inlineStr">
        <is>
          <t>HANDLE FIRST: YOUR OWN FUNCTION</t>
        </is>
      </c>
      <c r="C14" s="15" t="inlineStr">
        <is>
          <t>The conversation</t>
        </is>
      </c>
      <c r="D14" s="15" t="inlineStr">
        <is>
          <t>The win</t>
        </is>
      </c>
    </row>
    <row r="15">
      <c r="B15" s="23">
        <f t="array" ref="B15">IFERROR(INDEX(Inventory!$B$6:$B$45,SMALL(IF((Inventory!$K$6:$K$45="Yes")*(Inventory!$J$6:$J$45&lt;&gt;"Resolved")*(Inventory!$B$6:$B$45&lt;&gt;""),ROW(Inventory!$B$6:$B$45)-ROW(Inventory!$B$6)+1),1))&amp;"","")</f>
        <v/>
      </c>
      <c r="C15" s="23">
        <f t="array" ref="C15">IFERROR(INDEX(Inventory!$H$6:$H$45,SMALL(IF((Inventory!$K$6:$K$45="Yes")*(Inventory!$J$6:$J$45&lt;&gt;"Resolved")*(Inventory!$B$6:$B$45&lt;&gt;""),ROW(Inventory!$B$6:$B$45)-ROW(Inventory!$B$6)+1),1))&amp;"","")</f>
        <v/>
      </c>
      <c r="D15" s="23">
        <f t="array" ref="D15">IFERROR(INDEX(Inventory!$I$6:$I$45,SMALL(IF((Inventory!$K$6:$K$45="Yes")*(Inventory!$J$6:$J$45&lt;&gt;"Resolved")*(Inventory!$B$6:$B$45&lt;&gt;""),ROW(Inventory!$B$6:$B$45)-ROW(Inventory!$B$6)+1),1))&amp;"","")</f>
        <v/>
      </c>
    </row>
    <row r="16">
      <c r="B16" s="23">
        <f t="array" ref="B16">IFERROR(INDEX(Inventory!$B$6:$B$45,SMALL(IF((Inventory!$K$6:$K$45="Yes")*(Inventory!$J$6:$J$45&lt;&gt;"Resolved")*(Inventory!$B$6:$B$45&lt;&gt;""),ROW(Inventory!$B$6:$B$45)-ROW(Inventory!$B$6)+1),2))&amp;"","")</f>
        <v/>
      </c>
      <c r="C16" s="23">
        <f t="array" ref="C16">IFERROR(INDEX(Inventory!$H$6:$H$45,SMALL(IF((Inventory!$K$6:$K$45="Yes")*(Inventory!$J$6:$J$45&lt;&gt;"Resolved")*(Inventory!$B$6:$B$45&lt;&gt;""),ROW(Inventory!$B$6:$B$45)-ROW(Inventory!$B$6)+1),2))&amp;"","")</f>
        <v/>
      </c>
      <c r="D16" s="23">
        <f t="array" ref="D16">IFERROR(INDEX(Inventory!$I$6:$I$45,SMALL(IF((Inventory!$K$6:$K$45="Yes")*(Inventory!$J$6:$J$45&lt;&gt;"Resolved")*(Inventory!$B$6:$B$45&lt;&gt;""),ROW(Inventory!$B$6:$B$45)-ROW(Inventory!$B$6)+1),2))&amp;"","")</f>
        <v/>
      </c>
    </row>
    <row r="17">
      <c r="B17" s="23">
        <f t="array" ref="B17">IFERROR(INDEX(Inventory!$B$6:$B$45,SMALL(IF((Inventory!$K$6:$K$45="Yes")*(Inventory!$J$6:$J$45&lt;&gt;"Resolved")*(Inventory!$B$6:$B$45&lt;&gt;""),ROW(Inventory!$B$6:$B$45)-ROW(Inventory!$B$6)+1),3))&amp;"","")</f>
        <v/>
      </c>
      <c r="C17" s="23">
        <f t="array" ref="C17">IFERROR(INDEX(Inventory!$H$6:$H$45,SMALL(IF((Inventory!$K$6:$K$45="Yes")*(Inventory!$J$6:$J$45&lt;&gt;"Resolved")*(Inventory!$B$6:$B$45&lt;&gt;""),ROW(Inventory!$B$6:$B$45)-ROW(Inventory!$B$6)+1),3))&amp;"","")</f>
        <v/>
      </c>
      <c r="D17" s="23">
        <f t="array" ref="D17">IFERROR(INDEX(Inventory!$I$6:$I$45,SMALL(IF((Inventory!$K$6:$K$45="Yes")*(Inventory!$J$6:$J$45&lt;&gt;"Resolved")*(Inventory!$B$6:$B$45&lt;&gt;""),ROW(Inventory!$B$6:$B$45)-ROW(Inventory!$B$6)+1),3))&amp;"","")</f>
        <v/>
      </c>
    </row>
    <row r="19">
      <c r="B19" s="15" t="inlineStr">
        <is>
          <t>CONVERSATIONS TO HAVE PRIVATELY (fog protecting power)</t>
        </is>
      </c>
      <c r="C19" s="15" t="inlineStr">
        <is>
          <t>Who benefits</t>
        </is>
      </c>
      <c r="D19" s="15" t="inlineStr">
        <is>
          <t>The conversation, and with whom</t>
        </is>
      </c>
    </row>
    <row r="20">
      <c r="B20" s="23">
        <f t="array" ref="B20">IFERROR(INDEX(Inventory!$B$6:$B$45,SMALL(IF((Inventory!$E$6:$E$45="Power")*(Inventory!$J$6:$J$45&lt;&gt;"Resolved")*(Inventory!$B$6:$B$45&lt;&gt;""),ROW(Inventory!$B$6:$B$45)-ROW(Inventory!$B$6)+1),1))&amp;"","")</f>
        <v/>
      </c>
      <c r="C20" s="23">
        <f t="array" ref="C20">IFERROR(INDEX(Inventory!$D$6:$D$45,SMALL(IF((Inventory!$E$6:$E$45="Power")*(Inventory!$J$6:$J$45&lt;&gt;"Resolved")*(Inventory!$B$6:$B$45&lt;&gt;""),ROW(Inventory!$B$6:$B$45)-ROW(Inventory!$B$6)+1),1))&amp;"","")</f>
        <v/>
      </c>
      <c r="D20" s="23">
        <f t="array" ref="D20">IFERROR(INDEX(Inventory!$H$6:$H$45,SMALL(IF((Inventory!$E$6:$E$45="Power")*(Inventory!$J$6:$J$45&lt;&gt;"Resolved")*(Inventory!$B$6:$B$45&lt;&gt;""),ROW(Inventory!$B$6:$B$45)-ROW(Inventory!$B$6)+1),1))&amp;"","")</f>
        <v/>
      </c>
    </row>
    <row r="21">
      <c r="B21" s="23">
        <f t="array" ref="B21">IFERROR(INDEX(Inventory!$B$6:$B$45,SMALL(IF((Inventory!$E$6:$E$45="Power")*(Inventory!$J$6:$J$45&lt;&gt;"Resolved")*(Inventory!$B$6:$B$45&lt;&gt;""),ROW(Inventory!$B$6:$B$45)-ROW(Inventory!$B$6)+1),2))&amp;"","")</f>
        <v/>
      </c>
      <c r="C21" s="23">
        <f t="array" ref="C21">IFERROR(INDEX(Inventory!$D$6:$D$45,SMALL(IF((Inventory!$E$6:$E$45="Power")*(Inventory!$J$6:$J$45&lt;&gt;"Resolved")*(Inventory!$B$6:$B$45&lt;&gt;""),ROW(Inventory!$B$6:$B$45)-ROW(Inventory!$B$6)+1),2))&amp;"","")</f>
        <v/>
      </c>
      <c r="D21" s="23">
        <f t="array" ref="D21">IFERROR(INDEX(Inventory!$H$6:$H$45,SMALL(IF((Inventory!$E$6:$E$45="Power")*(Inventory!$J$6:$J$45&lt;&gt;"Resolved")*(Inventory!$B$6:$B$45&lt;&gt;""),ROW(Inventory!$B$6:$B$45)-ROW(Inventory!$B$6)+1),2))&amp;"","")</f>
        <v/>
      </c>
    </row>
    <row r="22">
      <c r="B22" s="23">
        <f t="array" ref="B22">IFERROR(INDEX(Inventory!$B$6:$B$45,SMALL(IF((Inventory!$E$6:$E$45="Power")*(Inventory!$J$6:$J$45&lt;&gt;"Resolved")*(Inventory!$B$6:$B$45&lt;&gt;""),ROW(Inventory!$B$6:$B$45)-ROW(Inventory!$B$6)+1),3))&amp;"","")</f>
        <v/>
      </c>
      <c r="C22" s="23">
        <f t="array" ref="C22">IFERROR(INDEX(Inventory!$D$6:$D$45,SMALL(IF((Inventory!$E$6:$E$45="Power")*(Inventory!$J$6:$J$45&lt;&gt;"Resolved")*(Inventory!$B$6:$B$45&lt;&gt;""),ROW(Inventory!$B$6:$B$45)-ROW(Inventory!$B$6)+1),3))&amp;"","")</f>
        <v/>
      </c>
      <c r="D22" s="23">
        <f t="array" ref="D22">IFERROR(INDEX(Inventory!$H$6:$H$45,SMALL(IF((Inventory!$E$6:$E$45="Power")*(Inventory!$J$6:$J$45&lt;&gt;"Resolved")*(Inventory!$B$6:$B$45&lt;&gt;""),ROW(Inventory!$B$6:$B$45)-ROW(Inventory!$B$6)+1),3))&amp;"","")</f>
        <v/>
      </c>
    </row>
    <row r="23">
      <c r="B23" s="23">
        <f t="array" ref="B23">IFERROR(INDEX(Inventory!$B$6:$B$45,SMALL(IF((Inventory!$E$6:$E$45="Power")*(Inventory!$J$6:$J$45&lt;&gt;"Resolved")*(Inventory!$B$6:$B$45&lt;&gt;""),ROW(Inventory!$B$6:$B$45)-ROW(Inventory!$B$6)+1),4))&amp;"","")</f>
        <v/>
      </c>
      <c r="C23" s="23">
        <f t="array" ref="C23">IFERROR(INDEX(Inventory!$D$6:$D$45,SMALL(IF((Inventory!$E$6:$E$45="Power")*(Inventory!$J$6:$J$45&lt;&gt;"Resolved")*(Inventory!$B$6:$B$45&lt;&gt;""),ROW(Inventory!$B$6:$B$45)-ROW(Inventory!$B$6)+1),4))&amp;"","")</f>
        <v/>
      </c>
      <c r="D23" s="23">
        <f t="array" ref="D23">IFERROR(INDEX(Inventory!$H$6:$H$45,SMALL(IF((Inventory!$E$6:$E$45="Power")*(Inventory!$J$6:$J$45&lt;&gt;"Resolved")*(Inventory!$B$6:$B$45&lt;&gt;""),ROW(Inventory!$B$6:$B$45)-ROW(Inventory!$B$6)+1),4))&amp;"","")</f>
        <v/>
      </c>
    </row>
    <row r="24">
      <c r="B24" s="23">
        <f t="array" ref="B24">IFERROR(INDEX(Inventory!$B$6:$B$45,SMALL(IF((Inventory!$E$6:$E$45="Power")*(Inventory!$J$6:$J$45&lt;&gt;"Resolved")*(Inventory!$B$6:$B$45&lt;&gt;""),ROW(Inventory!$B$6:$B$45)-ROW(Inventory!$B$6)+1),5))&amp;"","")</f>
        <v/>
      </c>
      <c r="C24" s="23">
        <f t="array" ref="C24">IFERROR(INDEX(Inventory!$D$6:$D$45,SMALL(IF((Inventory!$E$6:$E$45="Power")*(Inventory!$J$6:$J$45&lt;&gt;"Resolved")*(Inventory!$B$6:$B$45&lt;&gt;""),ROW(Inventory!$B$6:$B$45)-ROW(Inventory!$B$6)+1),5))&amp;"","")</f>
        <v/>
      </c>
      <c r="D24" s="23">
        <f t="array" ref="D24">IFERROR(INDEX(Inventory!$H$6:$H$45,SMALL(IF((Inventory!$E$6:$E$45="Power")*(Inventory!$J$6:$J$45&lt;&gt;"Resolved")*(Inventory!$B$6:$B$45&lt;&gt;""),ROW(Inventory!$B$6:$B$45)-ROW(Inventory!$B$6)+1),5))&amp;"","")</f>
        <v/>
      </c>
    </row>
    <row r="25">
      <c r="B25" s="23">
        <f t="array" ref="B25">IFERROR(INDEX(Inventory!$B$6:$B$45,SMALL(IF((Inventory!$E$6:$E$45="Power")*(Inventory!$J$6:$J$45&lt;&gt;"Resolved")*(Inventory!$B$6:$B$45&lt;&gt;""),ROW(Inventory!$B$6:$B$45)-ROW(Inventory!$B$6)+1),6))&amp;"","")</f>
        <v/>
      </c>
      <c r="C25" s="23">
        <f t="array" ref="C25">IFERROR(INDEX(Inventory!$D$6:$D$45,SMALL(IF((Inventory!$E$6:$E$45="Power")*(Inventory!$J$6:$J$45&lt;&gt;"Resolved")*(Inventory!$B$6:$B$45&lt;&gt;""),ROW(Inventory!$B$6:$B$45)-ROW(Inventory!$B$6)+1),6))&amp;"","")</f>
        <v/>
      </c>
      <c r="D25" s="23">
        <f t="array" ref="D25">IFERROR(INDEX(Inventory!$H$6:$H$45,SMALL(IF((Inventory!$E$6:$E$45="Power")*(Inventory!$J$6:$J$45&lt;&gt;"Resolved")*(Inventory!$B$6:$B$45&lt;&gt;""),ROW(Inventory!$B$6:$B$45)-ROW(Inventory!$B$6)+1),6))&amp;"","")</f>
        <v/>
      </c>
    </row>
    <row r="27">
      <c r="B27" s="15" t="inlineStr">
        <is>
          <t>WINS TO SEQUENCE FIRST</t>
        </is>
      </c>
      <c r="C27" s="15" t="inlineStr">
        <is>
          <t>The win</t>
        </is>
      </c>
      <c r="D27" s="15" t="inlineStr">
        <is>
          <t>What it unblocks</t>
        </is>
      </c>
    </row>
    <row r="28">
      <c r="B28" s="23">
        <f t="array" ref="B28">IFERROR(INDEX(Inventory!$B$6:$B$45,SMALL(IF((Inventory!$I$6:$I$45&lt;&gt;"")*(Inventory!$J$6:$J$45&lt;&gt;"Resolved")*(Inventory!$B$6:$B$45&lt;&gt;""),ROW(Inventory!$B$6:$B$45)-ROW(Inventory!$B$6)+1),1))&amp;"","")</f>
        <v/>
      </c>
      <c r="C28" s="23">
        <f t="array" ref="C28">IFERROR(INDEX(Inventory!$I$6:$I$45,SMALL(IF((Inventory!$I$6:$I$45&lt;&gt;"")*(Inventory!$J$6:$J$45&lt;&gt;"Resolved")*(Inventory!$B$6:$B$45&lt;&gt;""),ROW(Inventory!$B$6:$B$45)-ROW(Inventory!$B$6)+1),1))&amp;"","")</f>
        <v/>
      </c>
      <c r="D28" s="23">
        <f t="array" ref="D28">IFERROR(INDEX(Inventory!$G$6:$G$45,SMALL(IF((Inventory!$I$6:$I$45&lt;&gt;"")*(Inventory!$J$6:$J$45&lt;&gt;"Resolved")*(Inventory!$B$6:$B$45&lt;&gt;""),ROW(Inventory!$B$6:$B$45)-ROW(Inventory!$B$6)+1),1))&amp;"","")</f>
        <v/>
      </c>
    </row>
    <row r="29">
      <c r="B29" s="23">
        <f t="array" ref="B29">IFERROR(INDEX(Inventory!$B$6:$B$45,SMALL(IF((Inventory!$I$6:$I$45&lt;&gt;"")*(Inventory!$J$6:$J$45&lt;&gt;"Resolved")*(Inventory!$B$6:$B$45&lt;&gt;""),ROW(Inventory!$B$6:$B$45)-ROW(Inventory!$B$6)+1),2))&amp;"","")</f>
        <v/>
      </c>
      <c r="C29" s="23">
        <f t="array" ref="C29">IFERROR(INDEX(Inventory!$I$6:$I$45,SMALL(IF((Inventory!$I$6:$I$45&lt;&gt;"")*(Inventory!$J$6:$J$45&lt;&gt;"Resolved")*(Inventory!$B$6:$B$45&lt;&gt;""),ROW(Inventory!$B$6:$B$45)-ROW(Inventory!$B$6)+1),2))&amp;"","")</f>
        <v/>
      </c>
      <c r="D29" s="23">
        <f t="array" ref="D29">IFERROR(INDEX(Inventory!$G$6:$G$45,SMALL(IF((Inventory!$I$6:$I$45&lt;&gt;"")*(Inventory!$J$6:$J$45&lt;&gt;"Resolved")*(Inventory!$B$6:$B$45&lt;&gt;""),ROW(Inventory!$B$6:$B$45)-ROW(Inventory!$B$6)+1),2))&amp;"","")</f>
        <v/>
      </c>
    </row>
    <row r="30">
      <c r="B30" s="23">
        <f t="array" ref="B30">IFERROR(INDEX(Inventory!$B$6:$B$45,SMALL(IF((Inventory!$I$6:$I$45&lt;&gt;"")*(Inventory!$J$6:$J$45&lt;&gt;"Resolved")*(Inventory!$B$6:$B$45&lt;&gt;""),ROW(Inventory!$B$6:$B$45)-ROW(Inventory!$B$6)+1),3))&amp;"","")</f>
        <v/>
      </c>
      <c r="C30" s="23">
        <f t="array" ref="C30">IFERROR(INDEX(Inventory!$I$6:$I$45,SMALL(IF((Inventory!$I$6:$I$45&lt;&gt;"")*(Inventory!$J$6:$J$45&lt;&gt;"Resolved")*(Inventory!$B$6:$B$45&lt;&gt;""),ROW(Inventory!$B$6:$B$45)-ROW(Inventory!$B$6)+1),3))&amp;"","")</f>
        <v/>
      </c>
      <c r="D30" s="23">
        <f t="array" ref="D30">IFERROR(INDEX(Inventory!$G$6:$G$45,SMALL(IF((Inventory!$I$6:$I$45&lt;&gt;"")*(Inventory!$J$6:$J$45&lt;&gt;"Resolved")*(Inventory!$B$6:$B$45&lt;&gt;""),ROW(Inventory!$B$6:$B$45)-ROW(Inventory!$B$6)+1),3))&amp;"","")</f>
        <v/>
      </c>
    </row>
    <row r="31">
      <c r="B31" s="23">
        <f t="array" ref="B31">IFERROR(INDEX(Inventory!$B$6:$B$45,SMALL(IF((Inventory!$I$6:$I$45&lt;&gt;"")*(Inventory!$J$6:$J$45&lt;&gt;"Resolved")*(Inventory!$B$6:$B$45&lt;&gt;""),ROW(Inventory!$B$6:$B$45)-ROW(Inventory!$B$6)+1),4))&amp;"","")</f>
        <v/>
      </c>
      <c r="C31" s="23">
        <f t="array" ref="C31">IFERROR(INDEX(Inventory!$I$6:$I$45,SMALL(IF((Inventory!$I$6:$I$45&lt;&gt;"")*(Inventory!$J$6:$J$45&lt;&gt;"Resolved")*(Inventory!$B$6:$B$45&lt;&gt;""),ROW(Inventory!$B$6:$B$45)-ROW(Inventory!$B$6)+1),4))&amp;"","")</f>
        <v/>
      </c>
      <c r="D31" s="23">
        <f t="array" ref="D31">IFERROR(INDEX(Inventory!$G$6:$G$45,SMALL(IF((Inventory!$I$6:$I$45&lt;&gt;"")*(Inventory!$J$6:$J$45&lt;&gt;"Resolved")*(Inventory!$B$6:$B$45&lt;&gt;""),ROW(Inventory!$B$6:$B$45)-ROW(Inventory!$B$6)+1),4))&amp;"","")</f>
        <v/>
      </c>
    </row>
    <row r="32">
      <c r="B32" s="23">
        <f t="array" ref="B32">IFERROR(INDEX(Inventory!$B$6:$B$45,SMALL(IF((Inventory!$I$6:$I$45&lt;&gt;"")*(Inventory!$J$6:$J$45&lt;&gt;"Resolved")*(Inventory!$B$6:$B$45&lt;&gt;""),ROW(Inventory!$B$6:$B$45)-ROW(Inventory!$B$6)+1),5))&amp;"","")</f>
        <v/>
      </c>
      <c r="C32" s="23">
        <f t="array" ref="C32">IFERROR(INDEX(Inventory!$I$6:$I$45,SMALL(IF((Inventory!$I$6:$I$45&lt;&gt;"")*(Inventory!$J$6:$J$45&lt;&gt;"Resolved")*(Inventory!$B$6:$B$45&lt;&gt;""),ROW(Inventory!$B$6:$B$45)-ROW(Inventory!$B$6)+1),5))&amp;"","")</f>
        <v/>
      </c>
      <c r="D32" s="23">
        <f t="array" ref="D32">IFERROR(INDEX(Inventory!$G$6:$G$45,SMALL(IF((Inventory!$I$6:$I$45&lt;&gt;"")*(Inventory!$J$6:$J$45&lt;&gt;"Resolved")*(Inventory!$B$6:$B$45&lt;&gt;""),ROW(Inventory!$B$6:$B$45)-ROW(Inventory!$B$6)+1),5))&amp;"","")</f>
        <v/>
      </c>
    </row>
    <row r="33">
      <c r="B33" s="23">
        <f t="array" ref="B33">IFERROR(INDEX(Inventory!$B$6:$B$45,SMALL(IF((Inventory!$I$6:$I$45&lt;&gt;"")*(Inventory!$J$6:$J$45&lt;&gt;"Resolved")*(Inventory!$B$6:$B$45&lt;&gt;""),ROW(Inventory!$B$6:$B$45)-ROW(Inventory!$B$6)+1),6))&amp;"","")</f>
        <v/>
      </c>
      <c r="C33" s="23">
        <f t="array" ref="C33">IFERROR(INDEX(Inventory!$I$6:$I$45,SMALL(IF((Inventory!$I$6:$I$45&lt;&gt;"")*(Inventory!$J$6:$J$45&lt;&gt;"Resolved")*(Inventory!$B$6:$B$45&lt;&gt;""),ROW(Inventory!$B$6:$B$45)-ROW(Inventory!$B$6)+1),6))&amp;"","")</f>
        <v/>
      </c>
      <c r="D33" s="23">
        <f t="array" ref="D33">IFERROR(INDEX(Inventory!$G$6:$G$45,SMALL(IF((Inventory!$I$6:$I$45&lt;&gt;"")*(Inventory!$J$6:$J$45&lt;&gt;"Resolved")*(Inventory!$B$6:$B$45&lt;&gt;""),ROW(Inventory!$B$6:$B$45)-ROW(Inventory!$B$6)+1),6))&amp;"","")</f>
        <v/>
      </c>
    </row>
    <row r="35">
      <c r="B35" s="15" t="inlineStr">
        <is>
          <t>STALLS TO STOP DIAGNOSING AS TECHNOLOGY PROBLEMS</t>
        </is>
      </c>
      <c r="C35" s="15" t="inlineStr">
        <is>
          <t>The fog underneath it</t>
        </is>
      </c>
      <c r="D35" s="15" t="inlineStr">
        <is>
          <t>What the fog protects</t>
        </is>
      </c>
    </row>
    <row r="36">
      <c r="B36" s="23">
        <f t="array" ref="B36">IFERROR(INDEX(Inventory!$G$6:$G$45,SMALL(IF((Inventory!$G$6:$G$45&lt;&gt;"")*(Inventory!$J$6:$J$45&lt;&gt;"Resolved")*(Inventory!$B$6:$B$45&lt;&gt;""),ROW(Inventory!$B$6:$B$45)-ROW(Inventory!$B$6)+1),1))&amp;"","")</f>
        <v/>
      </c>
      <c r="C36" s="23">
        <f t="array" ref="C36">IFERROR(INDEX(Inventory!$B$6:$B$45,SMALL(IF((Inventory!$G$6:$G$45&lt;&gt;"")*(Inventory!$J$6:$J$45&lt;&gt;"Resolved")*(Inventory!$B$6:$B$45&lt;&gt;""),ROW(Inventory!$B$6:$B$45)-ROW(Inventory!$B$6)+1),1))&amp;"","")</f>
        <v/>
      </c>
      <c r="D36" s="23">
        <f t="array" ref="D36">IFERROR(INDEX(Inventory!$E$6:$E$45,SMALL(IF((Inventory!$G$6:$G$45&lt;&gt;"")*(Inventory!$J$6:$J$45&lt;&gt;"Resolved")*(Inventory!$B$6:$B$45&lt;&gt;""),ROW(Inventory!$B$6:$B$45)-ROW(Inventory!$B$6)+1),1))&amp;"","")</f>
        <v/>
      </c>
    </row>
    <row r="37">
      <c r="B37" s="23">
        <f t="array" ref="B37">IFERROR(INDEX(Inventory!$G$6:$G$45,SMALL(IF((Inventory!$G$6:$G$45&lt;&gt;"")*(Inventory!$J$6:$J$45&lt;&gt;"Resolved")*(Inventory!$B$6:$B$45&lt;&gt;""),ROW(Inventory!$B$6:$B$45)-ROW(Inventory!$B$6)+1),2))&amp;"","")</f>
        <v/>
      </c>
      <c r="C37" s="23">
        <f t="array" ref="C37">IFERROR(INDEX(Inventory!$B$6:$B$45,SMALL(IF((Inventory!$G$6:$G$45&lt;&gt;"")*(Inventory!$J$6:$J$45&lt;&gt;"Resolved")*(Inventory!$B$6:$B$45&lt;&gt;""),ROW(Inventory!$B$6:$B$45)-ROW(Inventory!$B$6)+1),2))&amp;"","")</f>
        <v/>
      </c>
      <c r="D37" s="23">
        <f t="array" ref="D37">IFERROR(INDEX(Inventory!$E$6:$E$45,SMALL(IF((Inventory!$G$6:$G$45&lt;&gt;"")*(Inventory!$J$6:$J$45&lt;&gt;"Resolved")*(Inventory!$B$6:$B$45&lt;&gt;""),ROW(Inventory!$B$6:$B$45)-ROW(Inventory!$B$6)+1),2))&amp;"","")</f>
        <v/>
      </c>
    </row>
    <row r="38">
      <c r="B38" s="23">
        <f t="array" ref="B38">IFERROR(INDEX(Inventory!$G$6:$G$45,SMALL(IF((Inventory!$G$6:$G$45&lt;&gt;"")*(Inventory!$J$6:$J$45&lt;&gt;"Resolved")*(Inventory!$B$6:$B$45&lt;&gt;""),ROW(Inventory!$B$6:$B$45)-ROW(Inventory!$B$6)+1),3))&amp;"","")</f>
        <v/>
      </c>
      <c r="C38" s="23">
        <f t="array" ref="C38">IFERROR(INDEX(Inventory!$B$6:$B$45,SMALL(IF((Inventory!$G$6:$G$45&lt;&gt;"")*(Inventory!$J$6:$J$45&lt;&gt;"Resolved")*(Inventory!$B$6:$B$45&lt;&gt;""),ROW(Inventory!$B$6:$B$45)-ROW(Inventory!$B$6)+1),3))&amp;"","")</f>
        <v/>
      </c>
      <c r="D38" s="23">
        <f t="array" ref="D38">IFERROR(INDEX(Inventory!$E$6:$E$45,SMALL(IF((Inventory!$G$6:$G$45&lt;&gt;"")*(Inventory!$J$6:$J$45&lt;&gt;"Resolved")*(Inventory!$B$6:$B$45&lt;&gt;""),ROW(Inventory!$B$6:$B$45)-ROW(Inventory!$B$6)+1),3))&amp;"","")</f>
        <v/>
      </c>
    </row>
    <row r="39">
      <c r="B39" s="23">
        <f t="array" ref="B39">IFERROR(INDEX(Inventory!$G$6:$G$45,SMALL(IF((Inventory!$G$6:$G$45&lt;&gt;"")*(Inventory!$J$6:$J$45&lt;&gt;"Resolved")*(Inventory!$B$6:$B$45&lt;&gt;""),ROW(Inventory!$B$6:$B$45)-ROW(Inventory!$B$6)+1),4))&amp;"","")</f>
        <v/>
      </c>
      <c r="C39" s="23">
        <f t="array" ref="C39">IFERROR(INDEX(Inventory!$B$6:$B$45,SMALL(IF((Inventory!$G$6:$G$45&lt;&gt;"")*(Inventory!$J$6:$J$45&lt;&gt;"Resolved")*(Inventory!$B$6:$B$45&lt;&gt;""),ROW(Inventory!$B$6:$B$45)-ROW(Inventory!$B$6)+1),4))&amp;"","")</f>
        <v/>
      </c>
      <c r="D39" s="23">
        <f t="array" ref="D39">IFERROR(INDEX(Inventory!$E$6:$E$45,SMALL(IF((Inventory!$G$6:$G$45&lt;&gt;"")*(Inventory!$J$6:$J$45&lt;&gt;"Resolved")*(Inventory!$B$6:$B$45&lt;&gt;""),ROW(Inventory!$B$6:$B$45)-ROW(Inventory!$B$6)+1),4))&amp;"","")</f>
        <v/>
      </c>
    </row>
    <row r="40">
      <c r="B40" s="23">
        <f t="array" ref="B40">IFERROR(INDEX(Inventory!$G$6:$G$45,SMALL(IF((Inventory!$G$6:$G$45&lt;&gt;"")*(Inventory!$J$6:$J$45&lt;&gt;"Resolved")*(Inventory!$B$6:$B$45&lt;&gt;""),ROW(Inventory!$B$6:$B$45)-ROW(Inventory!$B$6)+1),5))&amp;"","")</f>
        <v/>
      </c>
      <c r="C40" s="23">
        <f t="array" ref="C40">IFERROR(INDEX(Inventory!$B$6:$B$45,SMALL(IF((Inventory!$G$6:$G$45&lt;&gt;"")*(Inventory!$J$6:$J$45&lt;&gt;"Resolved")*(Inventory!$B$6:$B$45&lt;&gt;""),ROW(Inventory!$B$6:$B$45)-ROW(Inventory!$B$6)+1),5))&amp;"","")</f>
        <v/>
      </c>
      <c r="D40" s="23">
        <f t="array" ref="D40">IFERROR(INDEX(Inventory!$E$6:$E$45,SMALL(IF((Inventory!$G$6:$G$45&lt;&gt;"")*(Inventory!$J$6:$J$45&lt;&gt;"Resolved")*(Inventory!$B$6:$B$45&lt;&gt;""),ROW(Inventory!$B$6:$B$45)-ROW(Inventory!$B$6)+1),5))&amp;"","")</f>
        <v/>
      </c>
    </row>
    <row r="41">
      <c r="B41" s="23">
        <f t="array" ref="B41">IFERROR(INDEX(Inventory!$G$6:$G$45,SMALL(IF((Inventory!$G$6:$G$45&lt;&gt;"")*(Inventory!$J$6:$J$45&lt;&gt;"Resolved")*(Inventory!$B$6:$B$45&lt;&gt;""),ROW(Inventory!$B$6:$B$45)-ROW(Inventory!$B$6)+1),6))&amp;"","")</f>
        <v/>
      </c>
      <c r="C41" s="23">
        <f t="array" ref="C41">IFERROR(INDEX(Inventory!$B$6:$B$45,SMALL(IF((Inventory!$G$6:$G$45&lt;&gt;"")*(Inventory!$J$6:$J$45&lt;&gt;"Resolved")*(Inventory!$B$6:$B$45&lt;&gt;""),ROW(Inventory!$B$6:$B$45)-ROW(Inventory!$B$6)+1),6))&amp;"","")</f>
        <v/>
      </c>
      <c r="D41" s="23">
        <f t="array" ref="D41">IFERROR(INDEX(Inventory!$E$6:$E$45,SMALL(IF((Inventory!$G$6:$G$45&lt;&gt;"")*(Inventory!$J$6:$J$45&lt;&gt;"Resolved")*(Inventory!$B$6:$B$45&lt;&gt;""),ROW(Inventory!$B$6:$B$45)-ROW(Inventory!$B$6)+1),6))&amp;"","")</f>
        <v/>
      </c>
    </row>
    <row r="43" ht="30" customHeight="1">
      <c r="B43" s="24" t="inlineStr">
        <is>
          <t>An organization whose leaders defend ambiguity has told you its AI ceiling. The technology can only distribute the truth the organization is willing to establish.</t>
        </is>
      </c>
    </row>
    <row r="46">
      <c r="B46" s="13" t="inlineStr">
        <is>
          <t>© 2026 Elizabeth A. Corey. All rights reserved. GROWTH Execution Model™. onthegrow.ai</t>
        </is>
      </c>
    </row>
  </sheetData>
  <mergeCells count="4">
    <mergeCell ref="B43:E43"/>
    <mergeCell ref="B3:E3"/>
    <mergeCell ref="B2:E2"/>
    <mergeCell ref="B4:E4"/>
  </mergeCells>
  <pageMargins left="0.75" right="0.75" top="1" bottom="1" header="0.5" footer="0.5"/>
  <pageSetup orientation="portrait" fitToHeight="1" fitToWidth="1"/>
  <headerFooter>
    <oddHeader>&amp;C&amp;BPRIVATE. Use it. Don’t publish it.</oddHeader>
    <oddFooter>&amp;LOnTheGrow Leadership | Ambiguity Inventory&amp;RPage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Elizabeth A. Corey</dc:creator>
  <dc:title xmlns:dc="http://purl.org/dc/elements/1.1/">Ambiguity Inventory (private)</dc:title>
  <dcterms:created xmlns:dcterms="http://purl.org/dc/terms/" xmlns:xsi="http://www.w3.org/2001/XMLSchema-instance" xsi:type="dcterms:W3CDTF">2026-10-21T17:44:56Z</dcterms:created>
  <dcterms:modified xmlns:dcterms="http://purl.org/dc/terms/" xmlns:xsi="http://www.w3.org/2001/XMLSchema-instance" xsi:type="dcterms:W3CDTF">2026-10-21T17:44:56Z</dcterms:modified>
</cp:coreProperties>
</file>